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"/>
    </mc:Choice>
  </mc:AlternateContent>
  <xr:revisionPtr revIDLastSave="0" documentId="13_ncr:1_{F4C8E7B8-B530-46C5-80BF-947D9865E396}" xr6:coauthVersionLast="47" xr6:coauthVersionMax="47" xr10:uidLastSave="{00000000-0000-0000-0000-000000000000}"/>
  <bookViews>
    <workbookView xWindow="-108" yWindow="-108" windowWidth="23256" windowHeight="13896" firstSheet="14" activeTab="19" xr2:uid="{5CAD827C-DDF4-9F48-BEDE-38002A84F822}"/>
  </bookViews>
  <sheets>
    <sheet name="Apr-24" sheetId="2" r:id="rId1"/>
    <sheet name="May-24" sheetId="3" r:id="rId2"/>
    <sheet name="Jun-24" sheetId="4" r:id="rId3"/>
    <sheet name="Jul-24" sheetId="1" r:id="rId4"/>
    <sheet name="Aug-24" sheetId="5" r:id="rId5"/>
    <sheet name="Sep-24" sheetId="7" r:id="rId6"/>
    <sheet name="Oct-24" sheetId="8" r:id="rId7"/>
    <sheet name="Nov-24" sheetId="9" r:id="rId8"/>
    <sheet name="Dec-24" sheetId="10" r:id="rId9"/>
    <sheet name="Jan-25" sheetId="11" r:id="rId10"/>
    <sheet name="Feb-25" sheetId="12" r:id="rId11"/>
    <sheet name="Mar-25" sheetId="13" r:id="rId12"/>
    <sheet name="Apr-25" sheetId="14" r:id="rId13"/>
    <sheet name="May-25" sheetId="15" r:id="rId14"/>
    <sheet name="Jun-25" sheetId="16" r:id="rId15"/>
    <sheet name="Jul-25" sheetId="17" r:id="rId16"/>
    <sheet name="Aug-25" sheetId="18" r:id="rId17"/>
    <sheet name="Sep-25" sheetId="19" r:id="rId18"/>
    <sheet name="Oct-25" sheetId="20" r:id="rId19"/>
    <sheet name="Nov-25" sheetId="21" r:id="rId20"/>
    <sheet name="Dec-25" sheetId="22" r:id="rId21"/>
    <sheet name="Jan-26" sheetId="23" r:id="rId22"/>
  </sheets>
  <definedNames>
    <definedName name="_xlnm.Print_Area" localSheetId="0">'Apr-24'!$A$1:$G$52</definedName>
    <definedName name="_xlnm.Print_Area" localSheetId="12">'Apr-25'!$A$1:$G$53</definedName>
    <definedName name="_xlnm.Print_Area" localSheetId="4">'Aug-24'!$A$1:$G$55</definedName>
    <definedName name="_xlnm.Print_Area" localSheetId="16">'Aug-25'!$A$1:$G$53</definedName>
    <definedName name="_xlnm.Print_Area" localSheetId="8">'Dec-24'!$A$1:$G$52</definedName>
    <definedName name="_xlnm.Print_Area" localSheetId="20">'Dec-25'!$A$1:$G$52</definedName>
    <definedName name="_xlnm.Print_Area" localSheetId="9">'Jan-25'!$A$1:$J$51</definedName>
    <definedName name="_xlnm.Print_Area" localSheetId="21">'Jan-26'!$A$1:$G$53</definedName>
    <definedName name="_xlnm.Print_Area" localSheetId="3">'Jul-24'!$A$1:$G$55</definedName>
    <definedName name="_xlnm.Print_Area" localSheetId="15">'Jul-25'!$A$1:$G$53</definedName>
    <definedName name="_xlnm.Print_Area" localSheetId="2">'Jun-24'!$A$1:$G$52</definedName>
    <definedName name="_xlnm.Print_Area" localSheetId="14">'Jun-25'!$A$1:$G$53</definedName>
    <definedName name="_xlnm.Print_Area" localSheetId="11">'Mar-25'!$A$1:$G$53</definedName>
    <definedName name="_xlnm.Print_Area" localSheetId="1">'May-24'!$A$1:$G$52</definedName>
    <definedName name="_xlnm.Print_Area" localSheetId="13">'May-25'!$A$1:$G$53</definedName>
    <definedName name="_xlnm.Print_Area" localSheetId="7">'Nov-24'!$A$1:$G$52</definedName>
    <definedName name="_xlnm.Print_Area" localSheetId="19">'Nov-25'!$A$1:$G$53</definedName>
    <definedName name="_xlnm.Print_Area" localSheetId="6">'Oct-24'!$A$1:$G$52</definedName>
    <definedName name="_xlnm.Print_Area" localSheetId="18">'Oct-25'!$A$1:$G$53</definedName>
    <definedName name="_xlnm.Print_Area" localSheetId="5">'Sep-24'!$A$1:$G$55</definedName>
    <definedName name="_xlnm.Print_Area" localSheetId="17">'Sep-25'!$A$1:$G$53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F54" i="15"/>
  <c r="G15" i="13"/>
  <c r="D15" i="13"/>
  <c r="D66" i="11"/>
  <c r="D64" i="11"/>
  <c r="D63" i="11"/>
  <c r="D62" i="11"/>
  <c r="D61" i="11"/>
  <c r="D60" i="11"/>
  <c r="D59" i="11"/>
  <c r="D50" i="11"/>
  <c r="C50" i="11"/>
  <c r="B50" i="11"/>
  <c r="G47" i="11"/>
  <c r="H44" i="11"/>
  <c r="G44" i="11"/>
  <c r="G50" i="11" s="1"/>
  <c r="F44" i="11"/>
  <c r="D44" i="11"/>
  <c r="C44" i="11"/>
  <c r="B44" i="11"/>
  <c r="G43" i="11"/>
  <c r="G45" i="11" s="1"/>
  <c r="F43" i="11"/>
  <c r="D43" i="11"/>
  <c r="D45" i="11" s="1"/>
  <c r="C43" i="11"/>
  <c r="C45" i="11" s="1"/>
  <c r="B43" i="11"/>
  <c r="B45" i="11" s="1"/>
  <c r="I40" i="11"/>
  <c r="I50" i="11" s="1"/>
  <c r="H40" i="11"/>
  <c r="H50" i="11" s="1"/>
  <c r="G40" i="11"/>
  <c r="F40" i="11"/>
  <c r="E40" i="11"/>
  <c r="D40" i="11"/>
  <c r="C40" i="11"/>
  <c r="B40" i="11"/>
  <c r="I39" i="11"/>
  <c r="H39" i="11"/>
  <c r="H49" i="11" s="1"/>
  <c r="G39" i="11"/>
  <c r="G49" i="11" s="1"/>
  <c r="F39" i="11"/>
  <c r="E39" i="11"/>
  <c r="D39" i="11"/>
  <c r="D49" i="11" s="1"/>
  <c r="C39" i="11"/>
  <c r="C49" i="11" s="1"/>
  <c r="B39" i="11"/>
  <c r="B49" i="11" s="1"/>
  <c r="I38" i="11"/>
  <c r="I48" i="11" s="1"/>
  <c r="H38" i="11"/>
  <c r="H48" i="11" s="1"/>
  <c r="G38" i="11"/>
  <c r="G48" i="11" s="1"/>
  <c r="F38" i="11"/>
  <c r="E38" i="11"/>
  <c r="E48" i="11" s="1"/>
  <c r="D38" i="11"/>
  <c r="D48" i="11" s="1"/>
  <c r="C38" i="11"/>
  <c r="C48" i="11" s="1"/>
  <c r="B38" i="11"/>
  <c r="B48" i="11" s="1"/>
  <c r="I37" i="11"/>
  <c r="I47" i="11" s="1"/>
  <c r="H37" i="11"/>
  <c r="H47" i="11" s="1"/>
  <c r="H51" i="11" s="1"/>
  <c r="G37" i="11"/>
  <c r="G41" i="11" s="1"/>
  <c r="F37" i="11"/>
  <c r="E37" i="11"/>
  <c r="E47" i="11" s="1"/>
  <c r="D37" i="11"/>
  <c r="D47" i="11" s="1"/>
  <c r="D51" i="11" s="1"/>
  <c r="C37" i="11"/>
  <c r="C47" i="11" s="1"/>
  <c r="C51" i="11" s="1"/>
  <c r="B37" i="11"/>
  <c r="B47" i="11" s="1"/>
  <c r="B51" i="11" s="1"/>
  <c r="D35" i="11"/>
  <c r="C35" i="11"/>
  <c r="B35" i="11"/>
  <c r="I34" i="11"/>
  <c r="G34" i="11"/>
  <c r="E34" i="11"/>
  <c r="D34" i="11"/>
  <c r="C34" i="11"/>
  <c r="B34" i="11"/>
  <c r="G33" i="11"/>
  <c r="E33" i="11"/>
  <c r="D33" i="11"/>
  <c r="C33" i="11"/>
  <c r="B33" i="11"/>
  <c r="I32" i="11"/>
  <c r="H32" i="11"/>
  <c r="G32" i="11"/>
  <c r="E32" i="11"/>
  <c r="D32" i="11"/>
  <c r="C32" i="11"/>
  <c r="B32" i="11"/>
  <c r="I31" i="11"/>
  <c r="H31" i="11"/>
  <c r="G31" i="11"/>
  <c r="G35" i="11" s="1"/>
  <c r="E31" i="11"/>
  <c r="E35" i="11" s="1"/>
  <c r="F35" i="11" s="1"/>
  <c r="D31" i="11"/>
  <c r="C31" i="11"/>
  <c r="B31" i="11"/>
  <c r="G29" i="11"/>
  <c r="F29" i="11"/>
  <c r="E29" i="11"/>
  <c r="D29" i="11"/>
  <c r="C29" i="11"/>
  <c r="B29" i="11"/>
  <c r="I28" i="11"/>
  <c r="H28" i="11"/>
  <c r="H34" i="11" s="1"/>
  <c r="I27" i="11"/>
  <c r="I29" i="11" s="1"/>
  <c r="H27" i="11"/>
  <c r="H43" i="11" s="1"/>
  <c r="H45" i="11" s="1"/>
  <c r="I25" i="11"/>
  <c r="J25" i="11" s="1"/>
  <c r="H25" i="11"/>
  <c r="G25" i="11"/>
  <c r="E25" i="11"/>
  <c r="F25" i="11" s="1"/>
  <c r="D25" i="11"/>
  <c r="C25" i="11"/>
  <c r="B25" i="11"/>
  <c r="D19" i="11"/>
  <c r="H18" i="11"/>
  <c r="G18" i="11"/>
  <c r="G19" i="11" s="1"/>
  <c r="E18" i="11"/>
  <c r="D18" i="11"/>
  <c r="C18" i="11"/>
  <c r="B18" i="11"/>
  <c r="G17" i="11"/>
  <c r="D17" i="11"/>
  <c r="C17" i="11"/>
  <c r="B17" i="11"/>
  <c r="I16" i="11"/>
  <c r="H16" i="11"/>
  <c r="G16" i="11"/>
  <c r="E16" i="11"/>
  <c r="D16" i="11"/>
  <c r="C16" i="11"/>
  <c r="B16" i="11"/>
  <c r="I15" i="11"/>
  <c r="H15" i="11"/>
  <c r="G15" i="11"/>
  <c r="E15" i="11"/>
  <c r="D15" i="11"/>
  <c r="C15" i="11"/>
  <c r="C19" i="11" s="1"/>
  <c r="B15" i="11"/>
  <c r="B19" i="11" s="1"/>
  <c r="G13" i="11"/>
  <c r="D13" i="11"/>
  <c r="C13" i="11"/>
  <c r="B13" i="11"/>
  <c r="I12" i="11"/>
  <c r="I44" i="11" s="1"/>
  <c r="H12" i="11"/>
  <c r="E12" i="11"/>
  <c r="E44" i="11" s="1"/>
  <c r="E50" i="11" s="1"/>
  <c r="H11" i="11"/>
  <c r="H13" i="11" s="1"/>
  <c r="E11" i="11"/>
  <c r="I11" i="11" s="1"/>
  <c r="I9" i="11"/>
  <c r="J9" i="11" s="1"/>
  <c r="H9" i="11"/>
  <c r="G9" i="11"/>
  <c r="E9" i="11"/>
  <c r="F9" i="11" s="1"/>
  <c r="D9" i="11"/>
  <c r="C9" i="11"/>
  <c r="B9" i="11"/>
  <c r="E51" i="11" l="1"/>
  <c r="F51" i="11" s="1"/>
  <c r="G51" i="11"/>
  <c r="I43" i="11"/>
  <c r="I17" i="11"/>
  <c r="I19" i="11" s="1"/>
  <c r="J19" i="11" s="1"/>
  <c r="I13" i="11"/>
  <c r="J13" i="11" s="1"/>
  <c r="E49" i="11"/>
  <c r="H41" i="11"/>
  <c r="I33" i="11"/>
  <c r="I35" i="11" s="1"/>
  <c r="H29" i="11"/>
  <c r="J29" i="11" s="1"/>
  <c r="E17" i="11"/>
  <c r="E19" i="11" s="1"/>
  <c r="F19" i="11" s="1"/>
  <c r="D41" i="11"/>
  <c r="I18" i="11"/>
  <c r="E43" i="11"/>
  <c r="E45" i="11" s="1"/>
  <c r="F45" i="11" s="1"/>
  <c r="H33" i="11"/>
  <c r="H35" i="11" s="1"/>
  <c r="I41" i="11"/>
  <c r="J41" i="11" s="1"/>
  <c r="B41" i="11"/>
  <c r="C41" i="11"/>
  <c r="E13" i="11"/>
  <c r="F13" i="11" s="1"/>
  <c r="H17" i="11"/>
  <c r="H19" i="11" s="1"/>
  <c r="E41" i="11"/>
  <c r="F41" i="11" s="1"/>
  <c r="I45" i="11" l="1"/>
  <c r="J45" i="11" s="1"/>
  <c r="I49" i="11"/>
  <c r="I51" i="11" s="1"/>
  <c r="J51" i="11" s="1"/>
  <c r="J35" i="11"/>
  <c r="F59" i="9" l="1"/>
  <c r="E59" i="9"/>
  <c r="C59" i="9"/>
  <c r="B59" i="9"/>
  <c r="F57" i="9"/>
  <c r="E57" i="9"/>
  <c r="C57" i="9"/>
  <c r="B57" i="9"/>
  <c r="F55" i="9"/>
  <c r="E55" i="9"/>
  <c r="C55" i="9"/>
  <c r="B55" i="9"/>
  <c r="F54" i="9"/>
  <c r="E54" i="9"/>
  <c r="C54" i="9"/>
  <c r="B54" i="9"/>
  <c r="F53" i="9"/>
  <c r="E53" i="9"/>
  <c r="C53" i="9"/>
  <c r="B53" i="9"/>
  <c r="B36" i="2"/>
  <c r="C29" i="2"/>
  <c r="C28" i="2"/>
  <c r="F26" i="4" l="1"/>
  <c r="E51" i="4" l="1"/>
  <c r="B51" i="4"/>
  <c r="E50" i="4"/>
  <c r="F45" i="4"/>
  <c r="E45" i="4"/>
  <c r="D45" i="4"/>
  <c r="C45" i="4"/>
  <c r="B45" i="4"/>
  <c r="F44" i="4"/>
  <c r="E44" i="4"/>
  <c r="E46" i="4" s="1"/>
  <c r="D44" i="4"/>
  <c r="C44" i="4"/>
  <c r="C46" i="4" s="1"/>
  <c r="B44" i="4"/>
  <c r="B46" i="4" s="1"/>
  <c r="F41" i="4"/>
  <c r="E41" i="4"/>
  <c r="D41" i="4"/>
  <c r="C41" i="4"/>
  <c r="C51" i="4" s="1"/>
  <c r="B41" i="4"/>
  <c r="F40" i="4"/>
  <c r="E40" i="4"/>
  <c r="D40" i="4"/>
  <c r="C40" i="4"/>
  <c r="C50" i="4" s="1"/>
  <c r="B40" i="4"/>
  <c r="B50" i="4" s="1"/>
  <c r="F39" i="4"/>
  <c r="F49" i="4" s="1"/>
  <c r="E39" i="4"/>
  <c r="E49" i="4" s="1"/>
  <c r="D39" i="4"/>
  <c r="C39" i="4"/>
  <c r="C49" i="4" s="1"/>
  <c r="B39" i="4"/>
  <c r="B49" i="4" s="1"/>
  <c r="F38" i="4"/>
  <c r="F48" i="4" s="1"/>
  <c r="E38" i="4"/>
  <c r="E42" i="4" s="1"/>
  <c r="D38" i="4"/>
  <c r="C38" i="4"/>
  <c r="C42" i="4" s="1"/>
  <c r="B38" i="4"/>
  <c r="B42" i="4" s="1"/>
  <c r="F35" i="4"/>
  <c r="E35" i="4"/>
  <c r="C35" i="4"/>
  <c r="B35" i="4"/>
  <c r="F34" i="4"/>
  <c r="E34" i="4"/>
  <c r="C34" i="4"/>
  <c r="B34" i="4"/>
  <c r="F33" i="4"/>
  <c r="E33" i="4"/>
  <c r="C33" i="4"/>
  <c r="B33" i="4"/>
  <c r="F32" i="4"/>
  <c r="E32" i="4"/>
  <c r="E36" i="4" s="1"/>
  <c r="C32" i="4"/>
  <c r="C36" i="4" s="1"/>
  <c r="B32" i="4"/>
  <c r="B36" i="4" s="1"/>
  <c r="G30" i="4"/>
  <c r="E30" i="4"/>
  <c r="C30" i="4"/>
  <c r="D30" i="4" s="1"/>
  <c r="B30" i="4"/>
  <c r="G26" i="4"/>
  <c r="E26" i="4"/>
  <c r="D26" i="4"/>
  <c r="C26" i="4"/>
  <c r="B26" i="4"/>
  <c r="F20" i="4"/>
  <c r="G20" i="4" s="1"/>
  <c r="F19" i="4"/>
  <c r="E19" i="4"/>
  <c r="C19" i="4"/>
  <c r="B19" i="4"/>
  <c r="F18" i="4"/>
  <c r="E18" i="4"/>
  <c r="C18" i="4"/>
  <c r="B18" i="4"/>
  <c r="F17" i="4"/>
  <c r="E17" i="4"/>
  <c r="C17" i="4"/>
  <c r="B17" i="4"/>
  <c r="F16" i="4"/>
  <c r="E16" i="4"/>
  <c r="E20" i="4" s="1"/>
  <c r="C16" i="4"/>
  <c r="C20" i="4" s="1"/>
  <c r="B16" i="4"/>
  <c r="B20" i="4" s="1"/>
  <c r="F14" i="4"/>
  <c r="G14" i="4" s="1"/>
  <c r="E14" i="4"/>
  <c r="C14" i="4"/>
  <c r="B14" i="4"/>
  <c r="D14" i="4" s="1"/>
  <c r="F10" i="4"/>
  <c r="G10" i="4" s="1"/>
  <c r="E10" i="4"/>
  <c r="C10" i="4"/>
  <c r="D10" i="4" s="1"/>
  <c r="B10" i="4"/>
  <c r="E51" i="3"/>
  <c r="C51" i="3"/>
  <c r="B51" i="3"/>
  <c r="E50" i="3"/>
  <c r="E48" i="3"/>
  <c r="C46" i="3"/>
  <c r="D46" i="3" s="1"/>
  <c r="B46" i="3"/>
  <c r="F45" i="3"/>
  <c r="E45" i="3"/>
  <c r="D45" i="3"/>
  <c r="C45" i="3"/>
  <c r="B45" i="3"/>
  <c r="F44" i="3"/>
  <c r="E44" i="3"/>
  <c r="E46" i="3" s="1"/>
  <c r="D44" i="3"/>
  <c r="C44" i="3"/>
  <c r="B44" i="3"/>
  <c r="C42" i="3"/>
  <c r="D42" i="3" s="1"/>
  <c r="B42" i="3"/>
  <c r="F41" i="3"/>
  <c r="E41" i="3"/>
  <c r="D41" i="3"/>
  <c r="C41" i="3"/>
  <c r="B41" i="3"/>
  <c r="F40" i="3"/>
  <c r="F50" i="3" s="1"/>
  <c r="E40" i="3"/>
  <c r="E42" i="3" s="1"/>
  <c r="D40" i="3"/>
  <c r="C40" i="3"/>
  <c r="C50" i="3" s="1"/>
  <c r="B40" i="3"/>
  <c r="B50" i="3" s="1"/>
  <c r="F39" i="3"/>
  <c r="F49" i="3" s="1"/>
  <c r="E39" i="3"/>
  <c r="E49" i="3" s="1"/>
  <c r="D39" i="3"/>
  <c r="C39" i="3"/>
  <c r="C49" i="3" s="1"/>
  <c r="B39" i="3"/>
  <c r="B49" i="3" s="1"/>
  <c r="F38" i="3"/>
  <c r="E38" i="3"/>
  <c r="D38" i="3"/>
  <c r="C38" i="3"/>
  <c r="C48" i="3" s="1"/>
  <c r="C52" i="3" s="1"/>
  <c r="B38" i="3"/>
  <c r="B48" i="3" s="1"/>
  <c r="B52" i="3" s="1"/>
  <c r="F35" i="3"/>
  <c r="E35" i="3"/>
  <c r="C35" i="3"/>
  <c r="B35" i="3"/>
  <c r="F34" i="3"/>
  <c r="E34" i="3"/>
  <c r="C34" i="3"/>
  <c r="B34" i="3"/>
  <c r="F33" i="3"/>
  <c r="E33" i="3"/>
  <c r="C33" i="3"/>
  <c r="B33" i="3"/>
  <c r="B36" i="3" s="1"/>
  <c r="F32" i="3"/>
  <c r="E32" i="3"/>
  <c r="E36" i="3" s="1"/>
  <c r="C32" i="3"/>
  <c r="C36" i="3" s="1"/>
  <c r="D36" i="3" s="1"/>
  <c r="B32" i="3"/>
  <c r="F30" i="3"/>
  <c r="G30" i="3" s="1"/>
  <c r="E30" i="3"/>
  <c r="C30" i="3"/>
  <c r="D30" i="3" s="1"/>
  <c r="B30" i="3"/>
  <c r="F26" i="3"/>
  <c r="G26" i="3" s="1"/>
  <c r="E26" i="3"/>
  <c r="C26" i="3"/>
  <c r="D26" i="3" s="1"/>
  <c r="B26" i="3"/>
  <c r="F20" i="3"/>
  <c r="G20" i="3" s="1"/>
  <c r="F19" i="3"/>
  <c r="E19" i="3"/>
  <c r="C19" i="3"/>
  <c r="B19" i="3"/>
  <c r="F18" i="3"/>
  <c r="E18" i="3"/>
  <c r="C18" i="3"/>
  <c r="B18" i="3"/>
  <c r="F17" i="3"/>
  <c r="E17" i="3"/>
  <c r="C17" i="3"/>
  <c r="B17" i="3"/>
  <c r="F16" i="3"/>
  <c r="E16" i="3"/>
  <c r="E20" i="3" s="1"/>
  <c r="C16" i="3"/>
  <c r="C20" i="3" s="1"/>
  <c r="B16" i="3"/>
  <c r="B20" i="3" s="1"/>
  <c r="F14" i="3"/>
  <c r="G14" i="3" s="1"/>
  <c r="E14" i="3"/>
  <c r="D14" i="3"/>
  <c r="C14" i="3"/>
  <c r="B14" i="3"/>
  <c r="F10" i="3"/>
  <c r="G10" i="3" s="1"/>
  <c r="E10" i="3"/>
  <c r="C10" i="3"/>
  <c r="D10" i="3" s="1"/>
  <c r="B10" i="3"/>
  <c r="F51" i="2"/>
  <c r="E51" i="2"/>
  <c r="B51" i="2"/>
  <c r="F50" i="2"/>
  <c r="E50" i="2"/>
  <c r="E49" i="2"/>
  <c r="E48" i="2"/>
  <c r="E52" i="2" s="1"/>
  <c r="F46" i="2"/>
  <c r="F45" i="2"/>
  <c r="E45" i="2"/>
  <c r="D45" i="2"/>
  <c r="C45" i="2"/>
  <c r="B45" i="2"/>
  <c r="F44" i="2"/>
  <c r="E44" i="2"/>
  <c r="E46" i="2" s="1"/>
  <c r="D44" i="2"/>
  <c r="C44" i="2"/>
  <c r="B44" i="2"/>
  <c r="B46" i="2" s="1"/>
  <c r="F42" i="2"/>
  <c r="F41" i="2"/>
  <c r="E41" i="2"/>
  <c r="D41" i="2"/>
  <c r="C41" i="2"/>
  <c r="B41" i="2"/>
  <c r="F40" i="2"/>
  <c r="E40" i="2"/>
  <c r="D40" i="2"/>
  <c r="C40" i="2"/>
  <c r="C50" i="2" s="1"/>
  <c r="B40" i="2"/>
  <c r="B50" i="2" s="1"/>
  <c r="F39" i="2"/>
  <c r="F49" i="2" s="1"/>
  <c r="E39" i="2"/>
  <c r="D39" i="2"/>
  <c r="C39" i="2"/>
  <c r="C49" i="2" s="1"/>
  <c r="B39" i="2"/>
  <c r="B49" i="2" s="1"/>
  <c r="F38" i="2"/>
  <c r="F48" i="2" s="1"/>
  <c r="E38" i="2"/>
  <c r="E42" i="2" s="1"/>
  <c r="D38" i="2"/>
  <c r="C38" i="2"/>
  <c r="C42" i="2" s="1"/>
  <c r="D42" i="2" s="1"/>
  <c r="B38" i="2"/>
  <c r="B42" i="2" s="1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F36" i="2" s="1"/>
  <c r="E32" i="2"/>
  <c r="E36" i="2" s="1"/>
  <c r="C32" i="2"/>
  <c r="B32" i="2"/>
  <c r="F30" i="2"/>
  <c r="G30" i="2" s="1"/>
  <c r="E30" i="2"/>
  <c r="C30" i="2"/>
  <c r="D30" i="2" s="1"/>
  <c r="B30" i="2"/>
  <c r="F26" i="2"/>
  <c r="G26" i="2" s="1"/>
  <c r="E26" i="2"/>
  <c r="D26" i="2"/>
  <c r="C26" i="2"/>
  <c r="B26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F20" i="2" s="1"/>
  <c r="E16" i="2"/>
  <c r="E20" i="2" s="1"/>
  <c r="C16" i="2"/>
  <c r="C20" i="2" s="1"/>
  <c r="D20" i="2" s="1"/>
  <c r="B16" i="2"/>
  <c r="B20" i="2" s="1"/>
  <c r="F14" i="2"/>
  <c r="G14" i="2" s="1"/>
  <c r="E14" i="2"/>
  <c r="C14" i="2"/>
  <c r="D14" i="2" s="1"/>
  <c r="B14" i="2"/>
  <c r="F10" i="2"/>
  <c r="G10" i="2" s="1"/>
  <c r="E10" i="2"/>
  <c r="C10" i="2"/>
  <c r="D10" i="2" s="1"/>
  <c r="B10" i="2"/>
  <c r="C46" i="2" l="1"/>
  <c r="C51" i="2"/>
  <c r="C36" i="2"/>
  <c r="F51" i="3"/>
  <c r="F46" i="3"/>
  <c r="F42" i="3"/>
  <c r="G42" i="3" s="1"/>
  <c r="F36" i="3"/>
  <c r="F46" i="4"/>
  <c r="G46" i="4" s="1"/>
  <c r="F51" i="4"/>
  <c r="F50" i="4"/>
  <c r="F52" i="4" s="1"/>
  <c r="F36" i="4"/>
  <c r="G36" i="4" s="1"/>
  <c r="F42" i="4"/>
  <c r="G42" i="4" s="1"/>
  <c r="D36" i="2"/>
  <c r="D20" i="3"/>
  <c r="G20" i="2"/>
  <c r="D52" i="3"/>
  <c r="D46" i="4"/>
  <c r="G36" i="2"/>
  <c r="G46" i="3"/>
  <c r="E52" i="3"/>
  <c r="D20" i="4"/>
  <c r="F52" i="2"/>
  <c r="G52" i="2" s="1"/>
  <c r="G42" i="2"/>
  <c r="G36" i="3"/>
  <c r="D36" i="4"/>
  <c r="D42" i="4"/>
  <c r="D46" i="2"/>
  <c r="G46" i="2"/>
  <c r="F48" i="3"/>
  <c r="F52" i="3" s="1"/>
  <c r="G52" i="3" s="1"/>
  <c r="B48" i="4"/>
  <c r="B52" i="4" s="1"/>
  <c r="C48" i="2"/>
  <c r="C52" i="2" s="1"/>
  <c r="C48" i="4"/>
  <c r="C52" i="4" s="1"/>
  <c r="D52" i="4" s="1"/>
  <c r="E48" i="4"/>
  <c r="E52" i="4" s="1"/>
  <c r="B48" i="2"/>
  <c r="B52" i="2" s="1"/>
  <c r="G52" i="4" l="1"/>
  <c r="D52" i="2"/>
</calcChain>
</file>

<file path=xl/sharedStrings.xml><?xml version="1.0" encoding="utf-8"?>
<sst xmlns="http://schemas.openxmlformats.org/spreadsheetml/2006/main" count="1449" uniqueCount="123">
  <si>
    <t>Monthly</t>
  </si>
  <si>
    <t>GST Collections</t>
  </si>
  <si>
    <t>% Growth</t>
  </si>
  <si>
    <t>A</t>
  </si>
  <si>
    <t>B</t>
  </si>
  <si>
    <t>F</t>
  </si>
  <si>
    <t>CGST</t>
  </si>
  <si>
    <t>SGST</t>
  </si>
  <si>
    <t>IGST</t>
  </si>
  <si>
    <t>CESS</t>
  </si>
  <si>
    <t>Refund - Domestic</t>
  </si>
  <si>
    <t>Refund - Imports</t>
  </si>
  <si>
    <t xml:space="preserve"> </t>
  </si>
  <si>
    <t>A.1. Domestic</t>
  </si>
  <si>
    <t>A.2. Imports</t>
  </si>
  <si>
    <t>B.1. Domestic Refunds</t>
  </si>
  <si>
    <t>C.3 Net Revenue (C.1+C.2))</t>
  </si>
  <si>
    <t>A.3. Gross GST Revenue(A.1+A.2)</t>
  </si>
  <si>
    <t>B.3. Total Refund (B.1+B.2)</t>
  </si>
  <si>
    <t>C.1 Net Revenue Domestic (A.1 - B.1)</t>
  </si>
  <si>
    <t>Gross Domestic Revenue</t>
  </si>
  <si>
    <t>Gross Import Revenue</t>
  </si>
  <si>
    <t>Total Gross GST Revenue</t>
  </si>
  <si>
    <t>Total Refund</t>
  </si>
  <si>
    <t>Net Domestic Revenue</t>
  </si>
  <si>
    <t>Total Net GST Revenue</t>
  </si>
  <si>
    <t>July 23</t>
  </si>
  <si>
    <t>C</t>
  </si>
  <si>
    <t>D = C/B-1</t>
  </si>
  <si>
    <t>YTD  (July 2023)</t>
  </si>
  <si>
    <t>E</t>
  </si>
  <si>
    <t>YTD (July 2024)</t>
  </si>
  <si>
    <t>G = F/E-1</t>
  </si>
  <si>
    <t>GST Gross and Net Collections  (Amount in crores) - July 2024</t>
  </si>
  <si>
    <t>Note :</t>
  </si>
  <si>
    <t>The above numbers are provisional and the actuals number may have slightly vary on finalisation</t>
  </si>
  <si>
    <t>B.2. Export IGST Refunds</t>
  </si>
  <si>
    <t>C.2 Net IGST Revenue (A.2 - B.2)</t>
  </si>
  <si>
    <t>Net IGST Revenue</t>
  </si>
  <si>
    <t>GST Gross and Net Collections (Amount in crores)</t>
  </si>
  <si>
    <t>Annual</t>
  </si>
  <si>
    <t>Apr-23</t>
  </si>
  <si>
    <t>Apr-24</t>
  </si>
  <si>
    <t>YTD Apr 2023</t>
  </si>
  <si>
    <t>YTD Apr 2024</t>
  </si>
  <si>
    <t>Gross Imports Revenue</t>
  </si>
  <si>
    <t>May-23</t>
  </si>
  <si>
    <t>May-24</t>
  </si>
  <si>
    <t>YTD May 2023</t>
  </si>
  <si>
    <t>YTD May 2024</t>
  </si>
  <si>
    <t>June 23</t>
  </si>
  <si>
    <t>June 24</t>
  </si>
  <si>
    <t>YTD June 2023</t>
  </si>
  <si>
    <t>YTD June 2024</t>
  </si>
  <si>
    <t>C.2 Net IGST Revenue  (A.2 - B.2)</t>
  </si>
  <si>
    <t>Net IGST  Revenue</t>
  </si>
  <si>
    <t>GST Gross and Net Collections (Amount in crores) -- August 2024</t>
  </si>
  <si>
    <t>YTD</t>
  </si>
  <si>
    <t>Aug 2023</t>
  </si>
  <si>
    <t>Aug 2024</t>
  </si>
  <si>
    <t>Refund - Exports</t>
  </si>
  <si>
    <t>GST Gross and Net Collections (Amount in crores) -- September 2024</t>
  </si>
  <si>
    <t>Sep 2023</t>
  </si>
  <si>
    <t>Sep 2024</t>
  </si>
  <si>
    <t>GST Gross and Net Collections (Amount in crores) -- October 2024</t>
  </si>
  <si>
    <t>B.2. Export GST Refunds through ICEGATE</t>
  </si>
  <si>
    <t>C.2 Net Revenue Customs (GST)  (A.2 - B.2)</t>
  </si>
  <si>
    <t>Net Customs Revenue</t>
  </si>
  <si>
    <t>GST Gross and Net Collections as on  30/11/2024 (Amount in crores)</t>
  </si>
  <si>
    <t>D</t>
  </si>
  <si>
    <t>E = D/C-1</t>
  </si>
  <si>
    <t>G</t>
  </si>
  <si>
    <t>H</t>
  </si>
  <si>
    <t>I = H/G-1</t>
  </si>
  <si>
    <t>GST Gross and Net Collections as on  31/12//2024 (Amount in crores)</t>
  </si>
  <si>
    <t>D =C/B-1</t>
  </si>
  <si>
    <t>GST Gross and Net Collections as on  31/01/2025 (Amount in crores)</t>
  </si>
  <si>
    <t>Daily</t>
  </si>
  <si>
    <t>Yearly</t>
  </si>
  <si>
    <t>Jan 24</t>
  </si>
  <si>
    <t>MTD (31 Jan 2024)</t>
  </si>
  <si>
    <t>MTD (31 Jan 2025)</t>
  </si>
  <si>
    <t>FY 2023-24</t>
  </si>
  <si>
    <t>YTD (31 Jan 2024)</t>
  </si>
  <si>
    <t>YTD (31 Jan 2025)</t>
  </si>
  <si>
    <t>Customs Duty Details Proforma</t>
  </si>
  <si>
    <t> </t>
  </si>
  <si>
    <t>Duty Head</t>
  </si>
  <si>
    <t>Revenue Head</t>
  </si>
  <si>
    <t>Compensation</t>
  </si>
  <si>
    <t>Total</t>
  </si>
  <si>
    <t>(Rs in Crores)*</t>
  </si>
  <si>
    <t>Non- EDI Manual Challans</t>
  </si>
  <si>
    <t>EOU</t>
  </si>
  <si>
    <t>Manual BD</t>
  </si>
  <si>
    <t>UAB</t>
  </si>
  <si>
    <t>FPO</t>
  </si>
  <si>
    <t>Disposal</t>
  </si>
  <si>
    <t>Pre-deposite, Penalty, fine etc. recovered during audit/ Investigation</t>
  </si>
  <si>
    <t>GST Gross and Net Collections as on  28/02/2025 (Amount in crores)</t>
  </si>
  <si>
    <t>Year To Date</t>
  </si>
  <si>
    <t>GST Gross and Net Collections as on  31/03/2025 (Amount in crores)</t>
  </si>
  <si>
    <t>Mar 24</t>
  </si>
  <si>
    <t>GST Gross and Net Collections as on  30/04/2025 (Amount in crores)</t>
  </si>
  <si>
    <t>Apr 24</t>
  </si>
  <si>
    <t>GST Gross and Net Collections as on  31/05/2025 (Amount in crores)</t>
  </si>
  <si>
    <t>D  = C/B--1</t>
  </si>
  <si>
    <t>GST Gross and Net Collections as on  30/06/2025 (Amount in crores)</t>
  </si>
  <si>
    <t>GST Gross and Net Collections as on  31/07/2025 (Amount in crores)</t>
  </si>
  <si>
    <t>Jul-24</t>
  </si>
  <si>
    <t>GST Gross and Net Collections as on  31/08/2025 (Amount in crores)</t>
  </si>
  <si>
    <t>Aug-24</t>
  </si>
  <si>
    <t>GST Gross and Net Collections as on  30/09/2025 (Amount in crores)</t>
  </si>
  <si>
    <t>Sep-24</t>
  </si>
  <si>
    <t>GST Gross and Net Collections as on  31/10/2025 (Amount in crores)</t>
  </si>
  <si>
    <t>Oct-24</t>
  </si>
  <si>
    <t xml:space="preserve">GST Gross and Net Collections as on  11/30/2025 (Amount in crores) </t>
  </si>
  <si>
    <t>Montly</t>
  </si>
  <si>
    <t xml:space="preserve">GST Gross and Net Collections as on  31/12/2025 (Amount in crores) </t>
  </si>
  <si>
    <t>Dec-24</t>
  </si>
  <si>
    <t xml:space="preserve">A </t>
  </si>
  <si>
    <t xml:space="preserve">GST Gross and Net Collections as on  31/1/2026 (Amount in crores) </t>
  </si>
  <si>
    <t>Jan-25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</si>
</sst>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mmm\-yyyy"/>
    <numFmt numFmtId="168" formatCode="_(* #,##0.0_);_(* \(#,##0.0\);_(* &quot;-&quot;??_);_(@_)"/>
  </numFmts>
  <fonts count="3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0"/>
      <name val="Times"/>
    </font>
    <font>
      <sz val="14"/>
      <color theme="1"/>
      <name val="TimesNewRomanPSMT"/>
    </font>
    <font>
      <sz val="14"/>
      <color rgb="FF000000"/>
      <name val="Aptos"/>
      <family val="2"/>
    </font>
    <font>
      <b/>
      <sz val="10"/>
      <color rgb="FF000000"/>
      <name val="Times New Roman"/>
      <family val="1"/>
    </font>
    <font>
      <b/>
      <sz val="13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name val="Times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rgb="FF000000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F9FD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8" applyNumberFormat="0" applyAlignment="0" applyProtection="0"/>
    <xf numFmtId="0" fontId="17" fillId="9" borderId="9" applyNumberFormat="0" applyAlignment="0" applyProtection="0"/>
    <xf numFmtId="0" fontId="18" fillId="9" borderId="8" applyNumberFormat="0" applyAlignment="0" applyProtection="0"/>
    <xf numFmtId="0" fontId="19" fillId="0" borderId="10" applyNumberFormat="0" applyFill="0" applyAlignment="0" applyProtection="0"/>
    <xf numFmtId="0" fontId="20" fillId="10" borderId="11" applyNumberFormat="0" applyAlignment="0" applyProtection="0"/>
    <xf numFmtId="0" fontId="21" fillId="0" borderId="0" applyNumberFormat="0" applyFill="0" applyBorder="0" applyAlignment="0" applyProtection="0"/>
    <xf numFmtId="0" fontId="5" fillId="11" borderId="12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2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</cellStyleXfs>
  <cellXfs count="178">
    <xf numFmtId="0" fontId="0" fillId="0" borderId="0" xfId="0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164" fontId="7" fillId="0" borderId="4" xfId="2" applyNumberFormat="1" applyFont="1" applyFill="1" applyBorder="1"/>
    <xf numFmtId="0" fontId="0" fillId="0" borderId="4" xfId="0" applyBorder="1"/>
    <xf numFmtId="164" fontId="7" fillId="0" borderId="4" xfId="1" applyFont="1" applyFill="1" applyBorder="1"/>
    <xf numFmtId="0" fontId="7" fillId="0" borderId="4" xfId="1" applyNumberFormat="1" applyFont="1" applyFill="1" applyBorder="1"/>
    <xf numFmtId="164" fontId="8" fillId="0" borderId="4" xfId="0" applyNumberFormat="1" applyFont="1" applyBorder="1" applyAlignment="1">
      <alignment horizontal="right" vertical="center" wrapText="1"/>
    </xf>
    <xf numFmtId="10" fontId="7" fillId="0" borderId="4" xfId="2" applyNumberFormat="1" applyFont="1" applyFill="1" applyBorder="1"/>
    <xf numFmtId="0" fontId="5" fillId="0" borderId="4" xfId="0" applyFont="1" applyBorder="1" applyAlignment="1">
      <alignment horizontal="right"/>
    </xf>
    <xf numFmtId="2" fontId="0" fillId="0" borderId="4" xfId="0" applyNumberFormat="1" applyBorder="1"/>
    <xf numFmtId="164" fontId="5" fillId="0" borderId="4" xfId="2" applyNumberFormat="1" applyFont="1" applyFill="1" applyBorder="1"/>
    <xf numFmtId="0" fontId="0" fillId="0" borderId="0" xfId="0" applyAlignment="1">
      <alignment vertical="center"/>
    </xf>
    <xf numFmtId="164" fontId="7" fillId="0" borderId="4" xfId="2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64" fontId="2" fillId="3" borderId="4" xfId="1" applyFont="1" applyFill="1" applyBorder="1"/>
    <xf numFmtId="164" fontId="2" fillId="3" borderId="4" xfId="2" applyNumberFormat="1" applyFont="1" applyFill="1" applyBorder="1"/>
    <xf numFmtId="0" fontId="4" fillId="4" borderId="4" xfId="0" applyFont="1" applyFill="1" applyBorder="1" applyAlignment="1">
      <alignment horizontal="right"/>
    </xf>
    <xf numFmtId="10" fontId="4" fillId="4" borderId="4" xfId="2" applyNumberFormat="1" applyFont="1" applyFill="1" applyBorder="1"/>
    <xf numFmtId="0" fontId="5" fillId="0" borderId="0" xfId="0" applyFont="1"/>
    <xf numFmtId="2" fontId="5" fillId="0" borderId="0" xfId="0" applyNumberFormat="1" applyFont="1"/>
    <xf numFmtId="164" fontId="0" fillId="0" borderId="0" xfId="0" applyNumberFormat="1"/>
    <xf numFmtId="10" fontId="7" fillId="36" borderId="4" xfId="2" applyNumberFormat="1" applyFont="1" applyFill="1" applyBorder="1"/>
    <xf numFmtId="164" fontId="7" fillId="36" borderId="4" xfId="2" applyNumberFormat="1" applyFont="1" applyFill="1" applyBorder="1"/>
    <xf numFmtId="164" fontId="5" fillId="36" borderId="4" xfId="2" applyNumberFormat="1" applyFont="1" applyFill="1" applyBorder="1" applyAlignment="1">
      <alignment horizontal="right"/>
    </xf>
    <xf numFmtId="0" fontId="5" fillId="36" borderId="4" xfId="0" applyFont="1" applyFill="1" applyBorder="1" applyAlignment="1">
      <alignment horizontal="right"/>
    </xf>
    <xf numFmtId="164" fontId="7" fillId="36" borderId="4" xfId="2" applyNumberFormat="1" applyFont="1" applyFill="1" applyBorder="1" applyAlignment="1">
      <alignment horizontal="right"/>
    </xf>
    <xf numFmtId="164" fontId="5" fillId="36" borderId="4" xfId="1" applyFont="1" applyFill="1" applyBorder="1"/>
    <xf numFmtId="164" fontId="5" fillId="36" borderId="4" xfId="2" applyNumberFormat="1" applyFont="1" applyFill="1" applyBorder="1"/>
    <xf numFmtId="2" fontId="4" fillId="4" borderId="4" xfId="1" applyNumberFormat="1" applyFont="1" applyFill="1" applyBorder="1" applyAlignment="1">
      <alignment horizontal="right"/>
    </xf>
    <xf numFmtId="10" fontId="4" fillId="4" borderId="4" xfId="1" applyNumberFormat="1" applyFont="1" applyFill="1" applyBorder="1"/>
    <xf numFmtId="17" fontId="3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4" xfId="1" applyNumberFormat="1" applyFont="1" applyBorder="1"/>
    <xf numFmtId="165" fontId="7" fillId="0" borderId="4" xfId="1" applyNumberFormat="1" applyFont="1" applyFill="1" applyBorder="1"/>
    <xf numFmtId="165" fontId="0" fillId="0" borderId="4" xfId="0" applyNumberFormat="1" applyBorder="1"/>
    <xf numFmtId="165" fontId="8" fillId="0" borderId="4" xfId="0" applyNumberFormat="1" applyFont="1" applyBorder="1" applyAlignment="1">
      <alignment horizontal="right" vertical="center" wrapText="1"/>
    </xf>
    <xf numFmtId="165" fontId="2" fillId="3" borderId="4" xfId="0" applyNumberFormat="1" applyFont="1" applyFill="1" applyBorder="1" applyAlignment="1">
      <alignment horizontal="right"/>
    </xf>
    <xf numFmtId="165" fontId="2" fillId="3" borderId="4" xfId="1" applyNumberFormat="1" applyFont="1" applyFill="1" applyBorder="1"/>
    <xf numFmtId="165" fontId="4" fillId="4" borderId="4" xfId="1" applyNumberFormat="1" applyFont="1" applyFill="1" applyBorder="1"/>
    <xf numFmtId="165" fontId="0" fillId="0" borderId="4" xfId="0" applyNumberFormat="1" applyBorder="1" applyAlignment="1">
      <alignment vertical="center"/>
    </xf>
    <xf numFmtId="165" fontId="5" fillId="36" borderId="4" xfId="1" applyNumberFormat="1" applyFont="1" applyFill="1" applyBorder="1"/>
    <xf numFmtId="165" fontId="7" fillId="36" borderId="4" xfId="1" applyNumberFormat="1" applyFont="1" applyFill="1" applyBorder="1"/>
    <xf numFmtId="3" fontId="0" fillId="0" borderId="4" xfId="0" applyNumberFormat="1" applyBorder="1"/>
    <xf numFmtId="3" fontId="7" fillId="0" borderId="4" xfId="1" applyNumberFormat="1" applyFont="1" applyFill="1" applyBorder="1"/>
    <xf numFmtId="3" fontId="8" fillId="0" borderId="4" xfId="0" applyNumberFormat="1" applyFont="1" applyBorder="1" applyAlignment="1">
      <alignment horizontal="right" vertical="center" wrapText="1"/>
    </xf>
    <xf numFmtId="3" fontId="0" fillId="0" borderId="4" xfId="1" applyNumberFormat="1" applyFont="1" applyBorder="1"/>
    <xf numFmtId="164" fontId="0" fillId="0" borderId="0" xfId="1" applyFont="1"/>
    <xf numFmtId="0" fontId="1" fillId="3" borderId="4" xfId="0" applyFont="1" applyFill="1" applyBorder="1" applyAlignment="1">
      <alignment horizontal="right"/>
    </xf>
    <xf numFmtId="3" fontId="1" fillId="3" borderId="4" xfId="1" applyNumberFormat="1" applyFont="1" applyFill="1" applyBorder="1" applyAlignment="1">
      <alignment horizontal="right"/>
    </xf>
    <xf numFmtId="3" fontId="1" fillId="3" borderId="4" xfId="1" applyNumberFormat="1" applyFont="1" applyFill="1" applyBorder="1"/>
    <xf numFmtId="164" fontId="1" fillId="3" borderId="4" xfId="2" applyNumberFormat="1" applyFont="1" applyFill="1" applyBorder="1"/>
    <xf numFmtId="3" fontId="4" fillId="4" borderId="4" xfId="1" applyNumberFormat="1" applyFont="1" applyFill="1" applyBorder="1"/>
    <xf numFmtId="164" fontId="5" fillId="0" borderId="0" xfId="1" applyFont="1"/>
    <xf numFmtId="3" fontId="5" fillId="36" borderId="4" xfId="1" applyNumberFormat="1" applyFont="1" applyFill="1" applyBorder="1"/>
    <xf numFmtId="3" fontId="7" fillId="36" borderId="4" xfId="1" applyNumberFormat="1" applyFont="1" applyFill="1" applyBorder="1"/>
    <xf numFmtId="164" fontId="1" fillId="3" borderId="4" xfId="1" applyFont="1" applyFill="1" applyBorder="1"/>
    <xf numFmtId="165" fontId="0" fillId="0" borderId="0" xfId="1" applyNumberFormat="1" applyFont="1"/>
    <xf numFmtId="165" fontId="0" fillId="0" borderId="4" xfId="1" applyNumberFormat="1" applyFont="1" applyBorder="1" applyAlignment="1">
      <alignment vertical="center"/>
    </xf>
    <xf numFmtId="1" fontId="0" fillId="0" borderId="4" xfId="0" applyNumberFormat="1" applyBorder="1" applyAlignment="1">
      <alignment vertical="center"/>
    </xf>
    <xf numFmtId="166" fontId="7" fillId="0" borderId="4" xfId="2" applyNumberFormat="1" applyFont="1" applyFill="1" applyBorder="1"/>
    <xf numFmtId="164" fontId="0" fillId="0" borderId="4" xfId="0" applyNumberFormat="1" applyBorder="1"/>
    <xf numFmtId="166" fontId="7" fillId="36" borderId="4" xfId="2" applyNumberFormat="1" applyFont="1" applyFill="1" applyBorder="1"/>
    <xf numFmtId="165" fontId="1" fillId="3" borderId="4" xfId="0" applyNumberFormat="1" applyFont="1" applyFill="1" applyBorder="1" applyAlignment="1">
      <alignment horizontal="right"/>
    </xf>
    <xf numFmtId="165" fontId="1" fillId="3" borderId="4" xfId="1" applyNumberFormat="1" applyFont="1" applyFill="1" applyBorder="1"/>
    <xf numFmtId="166" fontId="4" fillId="4" borderId="4" xfId="2" applyNumberFormat="1" applyFont="1" applyFill="1" applyBorder="1"/>
    <xf numFmtId="16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7" fillId="0" borderId="4" xfId="0" applyNumberFormat="1" applyFont="1" applyBorder="1"/>
    <xf numFmtId="166" fontId="4" fillId="4" borderId="4" xfId="1" applyNumberFormat="1" applyFont="1" applyFill="1" applyBorder="1"/>
    <xf numFmtId="0" fontId="26" fillId="0" borderId="0" xfId="0" applyFont="1"/>
    <xf numFmtId="167" fontId="3" fillId="2" borderId="4" xfId="0" applyNumberFormat="1" applyFont="1" applyFill="1" applyBorder="1" applyAlignment="1">
      <alignment horizontal="center"/>
    </xf>
    <xf numFmtId="165" fontId="8" fillId="0" borderId="4" xfId="1" applyNumberFormat="1" applyFont="1" applyBorder="1" applyAlignment="1">
      <alignment horizontal="right" vertical="center" wrapText="1"/>
    </xf>
    <xf numFmtId="10" fontId="0" fillId="0" borderId="0" xfId="2" applyNumberFormat="1" applyFont="1"/>
    <xf numFmtId="165" fontId="1" fillId="3" borderId="4" xfId="1" applyNumberFormat="1" applyFont="1" applyFill="1" applyBorder="1" applyAlignment="1">
      <alignment horizontal="right"/>
    </xf>
    <xf numFmtId="166" fontId="1" fillId="3" borderId="4" xfId="2" applyNumberFormat="1" applyFont="1" applyFill="1" applyBorder="1"/>
    <xf numFmtId="165" fontId="0" fillId="0" borderId="4" xfId="1" applyNumberFormat="1" applyFont="1" applyBorder="1" applyAlignment="1">
      <alignment vertical="center" wrapText="1"/>
    </xf>
    <xf numFmtId="165" fontId="7" fillId="0" borderId="4" xfId="1" applyNumberFormat="1" applyFont="1" applyBorder="1"/>
    <xf numFmtId="166" fontId="0" fillId="0" borderId="4" xfId="0" applyNumberFormat="1" applyBorder="1"/>
    <xf numFmtId="166" fontId="5" fillId="0" borderId="4" xfId="2" applyNumberFormat="1" applyFont="1" applyFill="1" applyBorder="1"/>
    <xf numFmtId="164" fontId="5" fillId="0" borderId="0" xfId="0" applyNumberFormat="1" applyFont="1"/>
    <xf numFmtId="166" fontId="5" fillId="36" borderId="4" xfId="2" applyNumberFormat="1" applyFont="1" applyFill="1" applyBorder="1"/>
    <xf numFmtId="4" fontId="27" fillId="0" borderId="0" xfId="0" applyNumberFormat="1" applyFont="1"/>
    <xf numFmtId="10" fontId="0" fillId="0" borderId="4" xfId="2" applyNumberFormat="1" applyFont="1" applyBorder="1"/>
    <xf numFmtId="165" fontId="0" fillId="0" borderId="0" xfId="0" applyNumberFormat="1"/>
    <xf numFmtId="2" fontId="1" fillId="3" borderId="4" xfId="0" applyNumberFormat="1" applyFont="1" applyFill="1" applyBorder="1" applyAlignment="1">
      <alignment horizontal="right"/>
    </xf>
    <xf numFmtId="164" fontId="4" fillId="4" borderId="4" xfId="1" applyFont="1" applyFill="1" applyBorder="1"/>
    <xf numFmtId="164" fontId="7" fillId="36" borderId="4" xfId="1" applyFont="1" applyFill="1" applyBorder="1"/>
    <xf numFmtId="2" fontId="1" fillId="3" borderId="4" xfId="1" applyNumberFormat="1" applyFont="1" applyFill="1" applyBorder="1"/>
    <xf numFmtId="164" fontId="0" fillId="0" borderId="4" xfId="1" applyFont="1" applyBorder="1" applyAlignment="1">
      <alignment vertical="center" wrapText="1"/>
    </xf>
    <xf numFmtId="164" fontId="0" fillId="0" borderId="4" xfId="1" applyFont="1" applyBorder="1"/>
    <xf numFmtId="164" fontId="7" fillId="0" borderId="4" xfId="1" applyFont="1" applyBorder="1"/>
    <xf numFmtId="15" fontId="3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2" fontId="7" fillId="0" borderId="4" xfId="0" applyNumberFormat="1" applyFont="1" applyBorder="1" applyAlignment="1">
      <alignment vertical="center"/>
    </xf>
    <xf numFmtId="2" fontId="4" fillId="4" borderId="4" xfId="1" applyNumberFormat="1" applyFont="1" applyFill="1" applyBorder="1"/>
    <xf numFmtId="2" fontId="7" fillId="0" borderId="4" xfId="0" applyNumberFormat="1" applyFont="1" applyBorder="1"/>
    <xf numFmtId="3" fontId="28" fillId="0" borderId="0" xfId="0" applyNumberFormat="1" applyFont="1"/>
    <xf numFmtId="0" fontId="30" fillId="0" borderId="4" xfId="0" applyFont="1" applyBorder="1" applyAlignment="1">
      <alignment horizontal="center" vertical="center"/>
    </xf>
    <xf numFmtId="0" fontId="31" fillId="3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66" fontId="0" fillId="0" borderId="4" xfId="2" applyNumberFormat="1" applyFont="1" applyBorder="1"/>
    <xf numFmtId="165" fontId="32" fillId="0" borderId="4" xfId="1" applyNumberFormat="1" applyFont="1" applyFill="1" applyBorder="1" applyAlignment="1">
      <alignment horizontal="right"/>
    </xf>
    <xf numFmtId="165" fontId="32" fillId="0" borderId="4" xfId="1" applyNumberFormat="1" applyFont="1" applyFill="1" applyBorder="1"/>
    <xf numFmtId="166" fontId="0" fillId="0" borderId="4" xfId="2" applyNumberFormat="1" applyFont="1" applyBorder="1" applyAlignment="1">
      <alignment vertical="center" wrapText="1"/>
    </xf>
    <xf numFmtId="0" fontId="33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49" fontId="34" fillId="2" borderId="4" xfId="0" applyNumberFormat="1" applyFont="1" applyFill="1" applyBorder="1" applyAlignment="1">
      <alignment horizontal="center"/>
    </xf>
    <xf numFmtId="17" fontId="34" fillId="2" borderId="4" xfId="0" applyNumberFormat="1" applyFont="1" applyFill="1" applyBorder="1" applyAlignment="1">
      <alignment horizontal="center"/>
    </xf>
    <xf numFmtId="49" fontId="35" fillId="2" borderId="4" xfId="0" applyNumberFormat="1" applyFont="1" applyFill="1" applyBorder="1" applyAlignment="1">
      <alignment horizontal="center"/>
    </xf>
    <xf numFmtId="2" fontId="0" fillId="0" borderId="0" xfId="0" applyNumberFormat="1"/>
    <xf numFmtId="10" fontId="0" fillId="0" borderId="4" xfId="2" applyNumberFormat="1" applyFont="1" applyBorder="1" applyAlignment="1">
      <alignment vertical="center" wrapText="1"/>
    </xf>
    <xf numFmtId="4" fontId="36" fillId="0" borderId="0" xfId="0" applyNumberFormat="1" applyFont="1"/>
    <xf numFmtId="4" fontId="37" fillId="0" borderId="0" xfId="0" applyNumberFormat="1" applyFont="1"/>
    <xf numFmtId="4" fontId="0" fillId="0" borderId="0" xfId="0" applyNumberFormat="1"/>
    <xf numFmtId="165" fontId="7" fillId="0" borderId="4" xfId="1" applyNumberFormat="1" applyFont="1" applyBorder="1" applyAlignment="1">
      <alignment vertical="center"/>
    </xf>
    <xf numFmtId="9" fontId="7" fillId="0" borderId="4" xfId="2" applyFont="1" applyFill="1" applyBorder="1"/>
    <xf numFmtId="9" fontId="0" fillId="0" borderId="4" xfId="0" applyNumberFormat="1" applyBorder="1"/>
    <xf numFmtId="9" fontId="1" fillId="3" borderId="4" xfId="2" applyFont="1" applyFill="1" applyBorder="1"/>
    <xf numFmtId="9" fontId="0" fillId="0" borderId="4" xfId="2" applyFont="1" applyBorder="1" applyAlignment="1">
      <alignment vertical="center" wrapText="1"/>
    </xf>
    <xf numFmtId="9" fontId="0" fillId="0" borderId="4" xfId="2" applyFont="1" applyBorder="1"/>
    <xf numFmtId="9" fontId="5" fillId="36" borderId="4" xfId="2" applyFont="1" applyFill="1" applyBorder="1"/>
    <xf numFmtId="9" fontId="5" fillId="36" borderId="4" xfId="1" applyNumberFormat="1" applyFont="1" applyFill="1" applyBorder="1"/>
    <xf numFmtId="9" fontId="1" fillId="3" borderId="4" xfId="1" applyNumberFormat="1" applyFont="1" applyFill="1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4" fontId="38" fillId="0" borderId="0" xfId="0" applyNumberFormat="1" applyFont="1"/>
    <xf numFmtId="165" fontId="0" fillId="0" borderId="4" xfId="1" applyNumberFormat="1" applyFont="1" applyBorder="1" applyAlignment="1">
      <alignment wrapText="1"/>
    </xf>
    <xf numFmtId="4" fontId="0" fillId="0" borderId="0" xfId="0" applyNumberFormat="1" applyAlignment="1">
      <alignment vertical="center" wrapText="1"/>
    </xf>
    <xf numFmtId="165" fontId="7" fillId="0" borderId="4" xfId="2" applyNumberFormat="1" applyFont="1" applyFill="1" applyBorder="1"/>
    <xf numFmtId="166" fontId="0" fillId="0" borderId="4" xfId="2" applyNumberFormat="1" applyFont="1" applyFill="1" applyBorder="1" applyAlignment="1">
      <alignment vertical="center" wrapText="1"/>
    </xf>
    <xf numFmtId="166" fontId="5" fillId="36" borderId="4" xfId="1" applyNumberFormat="1" applyFont="1" applyFill="1" applyBorder="1"/>
    <xf numFmtId="166" fontId="1" fillId="3" borderId="4" xfId="1" applyNumberFormat="1" applyFont="1" applyFill="1" applyBorder="1"/>
    <xf numFmtId="164" fontId="7" fillId="0" borderId="1" xfId="2" applyNumberFormat="1" applyFont="1" applyFill="1" applyBorder="1" applyAlignment="1">
      <alignment horizontal="right"/>
    </xf>
    <xf numFmtId="1" fontId="0" fillId="0" borderId="4" xfId="0" applyNumberFormat="1" applyBorder="1" applyAlignment="1">
      <alignment vertical="center" wrapText="1"/>
    </xf>
    <xf numFmtId="0" fontId="0" fillId="0" borderId="0" xfId="0" applyAlignment="1">
      <alignment wrapText="1"/>
    </xf>
    <xf numFmtId="1" fontId="8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/>
    <xf numFmtId="165" fontId="0" fillId="0" borderId="3" xfId="1" applyNumberFormat="1" applyFont="1" applyBorder="1" applyAlignment="1">
      <alignment vertical="center" wrapText="1"/>
    </xf>
    <xf numFmtId="1" fontId="7" fillId="0" borderId="4" xfId="1" applyNumberFormat="1" applyFont="1" applyFill="1" applyBorder="1"/>
    <xf numFmtId="1" fontId="7" fillId="0" borderId="4" xfId="2" applyNumberFormat="1" applyFont="1" applyFill="1" applyBorder="1"/>
    <xf numFmtId="1" fontId="1" fillId="3" borderId="4" xfId="1" applyNumberFormat="1" applyFont="1" applyFill="1" applyBorder="1"/>
    <xf numFmtId="1" fontId="4" fillId="4" borderId="4" xfId="1" applyNumberFormat="1" applyFont="1" applyFill="1" applyBorder="1"/>
    <xf numFmtId="1" fontId="5" fillId="36" borderId="4" xfId="1" applyNumberFormat="1" applyFont="1" applyFill="1" applyBorder="1"/>
    <xf numFmtId="1" fontId="7" fillId="36" borderId="4" xfId="1" applyNumberFormat="1" applyFont="1" applyFill="1" applyBorder="1"/>
    <xf numFmtId="165" fontId="0" fillId="0" borderId="3" xfId="0" applyNumberFormat="1" applyBorder="1" applyAlignment="1">
      <alignment vertical="center" wrapText="1"/>
    </xf>
    <xf numFmtId="165" fontId="0" fillId="0" borderId="14" xfId="0" applyNumberFormat="1" applyBorder="1" applyAlignment="1">
      <alignment vertical="center"/>
    </xf>
    <xf numFmtId="2" fontId="0" fillId="0" borderId="4" xfId="0" applyNumberFormat="1" applyBorder="1" applyAlignment="1">
      <alignment vertical="center" wrapText="1"/>
    </xf>
    <xf numFmtId="168" fontId="7" fillId="0" borderId="4" xfId="1" applyNumberFormat="1" applyFont="1" applyFill="1" applyBorder="1"/>
    <xf numFmtId="2" fontId="0" fillId="0" borderId="4" xfId="0" applyNumberFormat="1" applyBorder="1" applyAlignment="1">
      <alignment vertical="center"/>
    </xf>
    <xf numFmtId="2" fontId="0" fillId="0" borderId="4" xfId="2" applyNumberFormat="1" applyFont="1" applyBorder="1"/>
    <xf numFmtId="2" fontId="0" fillId="0" borderId="14" xfId="0" applyNumberFormat="1" applyBorder="1" applyAlignment="1">
      <alignment vertical="center"/>
    </xf>
    <xf numFmtId="165" fontId="7" fillId="0" borderId="4" xfId="0" applyNumberFormat="1" applyFont="1" applyBorder="1" applyAlignment="1">
      <alignment vertical="center"/>
    </xf>
    <xf numFmtId="0" fontId="33" fillId="2" borderId="1" xfId="0" applyFont="1" applyFill="1" applyBorder="1" applyAlignment="1">
      <alignment horizontal="center" wrapText="1"/>
    </xf>
    <xf numFmtId="0" fontId="33" fillId="2" borderId="2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31" fillId="38" borderId="4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3" fillId="2" borderId="4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C760-637E-DA46-A35A-7BCBE3032E51}">
  <dimension ref="A1:I55"/>
  <sheetViews>
    <sheetView topLeftCell="A20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  <col min="9" max="9" width="17.6640625" bestFit="1" customWidth="1"/>
  </cols>
  <sheetData>
    <row r="1" spans="1:9" ht="15.6">
      <c r="A1" s="160" t="s">
        <v>39</v>
      </c>
      <c r="B1" s="161"/>
      <c r="C1" s="161"/>
      <c r="D1" s="161"/>
      <c r="E1" s="161"/>
      <c r="F1" s="161"/>
      <c r="G1" s="162"/>
    </row>
    <row r="2" spans="1:9" ht="15.6">
      <c r="A2" s="1"/>
      <c r="B2" s="163" t="s">
        <v>0</v>
      </c>
      <c r="C2" s="163"/>
      <c r="D2" s="163"/>
      <c r="E2" s="163" t="s">
        <v>40</v>
      </c>
      <c r="F2" s="163"/>
      <c r="G2" s="163"/>
    </row>
    <row r="3" spans="1:9" ht="15.6">
      <c r="A3" s="2" t="s">
        <v>1</v>
      </c>
      <c r="B3" s="3" t="s">
        <v>41</v>
      </c>
      <c r="C3" s="3" t="s">
        <v>42</v>
      </c>
      <c r="D3" s="2" t="s">
        <v>2</v>
      </c>
      <c r="E3" s="2" t="s">
        <v>43</v>
      </c>
      <c r="F3" s="2" t="s">
        <v>44</v>
      </c>
      <c r="G3" s="2" t="s">
        <v>2</v>
      </c>
    </row>
    <row r="4" spans="1:9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I5" s="22"/>
    </row>
    <row r="6" spans="1:9" outlineLevel="1">
      <c r="A6" s="10" t="s">
        <v>6</v>
      </c>
      <c r="B6" s="44">
        <v>38440.242899999997</v>
      </c>
      <c r="C6" s="44">
        <v>43845.51</v>
      </c>
      <c r="D6" s="11"/>
      <c r="E6" s="44">
        <v>38440.239999999998</v>
      </c>
      <c r="F6" s="44">
        <v>43845.51</v>
      </c>
      <c r="G6" s="12"/>
      <c r="H6" s="13"/>
      <c r="I6" s="22"/>
    </row>
    <row r="7" spans="1:9" outlineLevel="1">
      <c r="A7" s="10" t="s">
        <v>7</v>
      </c>
      <c r="B7" s="44">
        <v>47411.5363</v>
      </c>
      <c r="C7" s="44">
        <v>53538.3</v>
      </c>
      <c r="D7" s="11"/>
      <c r="E7" s="44">
        <v>47411.54</v>
      </c>
      <c r="F7" s="44">
        <v>53538.3</v>
      </c>
      <c r="G7" s="12"/>
      <c r="I7" s="22"/>
    </row>
    <row r="8" spans="1:9" outlineLevel="1">
      <c r="A8" s="10" t="s">
        <v>8</v>
      </c>
      <c r="B8" s="44">
        <v>54185.993600000002</v>
      </c>
      <c r="C8" s="44">
        <v>61796.7</v>
      </c>
      <c r="D8" s="11"/>
      <c r="E8" s="44">
        <v>54185.99</v>
      </c>
      <c r="F8" s="44">
        <v>61796.7</v>
      </c>
      <c r="G8" s="12"/>
      <c r="H8" s="13"/>
      <c r="I8" s="22"/>
    </row>
    <row r="9" spans="1:9" outlineLevel="1">
      <c r="A9" s="10" t="s">
        <v>9</v>
      </c>
      <c r="B9" s="44">
        <v>11123.986700000001</v>
      </c>
      <c r="C9" s="44">
        <v>12252.04</v>
      </c>
      <c r="D9" s="11"/>
      <c r="E9" s="44">
        <v>11123.99</v>
      </c>
      <c r="F9" s="44">
        <v>12252.04</v>
      </c>
      <c r="G9" s="12"/>
      <c r="I9" s="22"/>
    </row>
    <row r="10" spans="1:9">
      <c r="A10" s="14" t="s">
        <v>20</v>
      </c>
      <c r="B10" s="45">
        <f t="shared" ref="B10:C10" si="0">SUM(B6:B9)</f>
        <v>151161.75949999999</v>
      </c>
      <c r="C10" s="45">
        <f t="shared" si="0"/>
        <v>171432.55000000002</v>
      </c>
      <c r="D10" s="9">
        <f>C10/B10-1</f>
        <v>0.13409999041457321</v>
      </c>
      <c r="E10" s="46">
        <f>SUM(E6:E9)</f>
        <v>151161.75999999998</v>
      </c>
      <c r="F10" s="46">
        <f>SUM(F6:F9)</f>
        <v>171432.55000000002</v>
      </c>
      <c r="G10" s="9">
        <f>F10/E10-1</f>
        <v>0.13409998666329392</v>
      </c>
      <c r="I10" s="22"/>
    </row>
    <row r="11" spans="1:9" ht="12.45" customHeight="1" collapsed="1">
      <c r="A11" s="4" t="s">
        <v>14</v>
      </c>
      <c r="B11" s="45"/>
      <c r="C11" s="47"/>
      <c r="D11" s="5"/>
      <c r="E11" s="47"/>
      <c r="F11" s="47"/>
      <c r="G11" s="9"/>
      <c r="I11" s="22"/>
    </row>
    <row r="12" spans="1:9" outlineLevel="1">
      <c r="A12" s="10" t="s">
        <v>8</v>
      </c>
      <c r="B12" s="44">
        <v>34972</v>
      </c>
      <c r="C12" s="47">
        <v>37826.495320649999</v>
      </c>
      <c r="D12" s="11"/>
      <c r="E12" s="47">
        <v>34972</v>
      </c>
      <c r="F12" s="47">
        <v>37826.495320649999</v>
      </c>
      <c r="G12" s="12"/>
      <c r="I12" s="22"/>
    </row>
    <row r="13" spans="1:9" outlineLevel="1">
      <c r="A13" s="10" t="s">
        <v>9</v>
      </c>
      <c r="B13" s="44">
        <v>901</v>
      </c>
      <c r="C13" s="47">
        <v>1008.0192646999999</v>
      </c>
      <c r="D13" s="11"/>
      <c r="E13" s="47">
        <v>901</v>
      </c>
      <c r="F13" s="47">
        <v>1008.0192646999999</v>
      </c>
      <c r="G13" s="12"/>
    </row>
    <row r="14" spans="1:9">
      <c r="A14" s="14" t="s">
        <v>45</v>
      </c>
      <c r="B14" s="45">
        <f>SUM(B12:B13)</f>
        <v>35873</v>
      </c>
      <c r="C14" s="45">
        <f>SUM(C12:C13)</f>
        <v>38834.51458535</v>
      </c>
      <c r="D14" s="9">
        <f>C14/B14-1</f>
        <v>8.2555531607336974E-2</v>
      </c>
      <c r="E14" s="45">
        <f t="shared" ref="E14" si="1">SUM(E12:E13)</f>
        <v>35873</v>
      </c>
      <c r="F14" s="45">
        <f t="shared" ref="F14" si="2">SUM(F12:F13)</f>
        <v>38834.51458535</v>
      </c>
      <c r="G14" s="23">
        <f>F14/E14-1</f>
        <v>8.2555531607336974E-2</v>
      </c>
      <c r="I14" s="48"/>
    </row>
    <row r="15" spans="1:9">
      <c r="A15" s="4" t="s">
        <v>17</v>
      </c>
      <c r="B15" s="45"/>
      <c r="C15" s="45"/>
      <c r="D15" s="4"/>
      <c r="E15" s="45"/>
      <c r="F15" s="45"/>
      <c r="G15" s="4"/>
    </row>
    <row r="16" spans="1:9" ht="15.6">
      <c r="A16" s="49" t="s">
        <v>6</v>
      </c>
      <c r="B16" s="50">
        <f t="shared" ref="B16:C17" si="3">B6</f>
        <v>38440.242899999997</v>
      </c>
      <c r="C16" s="51">
        <f t="shared" si="3"/>
        <v>43845.51</v>
      </c>
      <c r="D16" s="52"/>
      <c r="E16" s="51">
        <f t="shared" ref="E16:F17" si="4">E6</f>
        <v>38440.239999999998</v>
      </c>
      <c r="F16" s="51">
        <f t="shared" si="4"/>
        <v>43845.51</v>
      </c>
      <c r="G16" s="52"/>
      <c r="I16" s="22"/>
    </row>
    <row r="17" spans="1:9" ht="15.6">
      <c r="A17" s="49" t="s">
        <v>7</v>
      </c>
      <c r="B17" s="50">
        <f t="shared" si="3"/>
        <v>47411.5363</v>
      </c>
      <c r="C17" s="51">
        <f t="shared" si="3"/>
        <v>53538.3</v>
      </c>
      <c r="D17" s="52"/>
      <c r="E17" s="51">
        <f t="shared" si="4"/>
        <v>47411.54</v>
      </c>
      <c r="F17" s="51">
        <f t="shared" si="4"/>
        <v>53538.3</v>
      </c>
      <c r="G17" s="52"/>
    </row>
    <row r="18" spans="1:9" ht="15.6">
      <c r="A18" s="49" t="s">
        <v>8</v>
      </c>
      <c r="B18" s="50">
        <f>B8+B12</f>
        <v>89157.993600000002</v>
      </c>
      <c r="C18" s="51">
        <f t="shared" ref="C18:C19" si="5">C8+C12</f>
        <v>99623.195320650004</v>
      </c>
      <c r="D18" s="52"/>
      <c r="E18" s="51">
        <f t="shared" ref="E18:F19" si="6">E8+E12</f>
        <v>89157.989999999991</v>
      </c>
      <c r="F18" s="51">
        <f t="shared" si="6"/>
        <v>99623.195320650004</v>
      </c>
      <c r="G18" s="52"/>
    </row>
    <row r="19" spans="1:9" ht="15.6">
      <c r="A19" s="49" t="s">
        <v>9</v>
      </c>
      <c r="B19" s="50">
        <f>B9+B13</f>
        <v>12024.986700000001</v>
      </c>
      <c r="C19" s="51">
        <f t="shared" si="5"/>
        <v>13260.059264700001</v>
      </c>
      <c r="D19" s="52"/>
      <c r="E19" s="51">
        <f t="shared" si="6"/>
        <v>12024.99</v>
      </c>
      <c r="F19" s="51">
        <f t="shared" si="6"/>
        <v>13260.059264700001</v>
      </c>
      <c r="G19" s="52"/>
    </row>
    <row r="20" spans="1:9" ht="15.6">
      <c r="A20" s="18" t="s">
        <v>22</v>
      </c>
      <c r="B20" s="53">
        <f>SUM(B16:B19)</f>
        <v>187034.75949999999</v>
      </c>
      <c r="C20" s="53">
        <f>SUM(C16:C19)</f>
        <v>210267.06458534999</v>
      </c>
      <c r="D20" s="19">
        <f>C20/B20-1</f>
        <v>0.12421383676198428</v>
      </c>
      <c r="E20" s="53">
        <f t="shared" ref="E20" si="7">SUM(E16:E19)</f>
        <v>187034.75999999998</v>
      </c>
      <c r="F20" s="53">
        <f t="shared" ref="F20" si="8">SUM(F16:F19)</f>
        <v>210267.06458534999</v>
      </c>
      <c r="G20" s="19">
        <f>F20/E20-1</f>
        <v>0.12421383375662365</v>
      </c>
    </row>
    <row r="21" spans="1:9" s="20" customFormat="1" collapsed="1">
      <c r="A21" s="4" t="s">
        <v>15</v>
      </c>
      <c r="B21" s="47"/>
      <c r="C21" s="47"/>
      <c r="D21" s="11"/>
      <c r="E21" s="47"/>
      <c r="F21" s="47"/>
      <c r="G21" s="5"/>
      <c r="I21"/>
    </row>
    <row r="22" spans="1:9" s="20" customFormat="1" outlineLevel="1">
      <c r="A22" s="10" t="s">
        <v>6</v>
      </c>
      <c r="B22" s="47">
        <v>3019.32</v>
      </c>
      <c r="C22" s="47">
        <v>2744.06</v>
      </c>
      <c r="D22" s="11"/>
      <c r="E22" s="47">
        <v>3019.32</v>
      </c>
      <c r="F22" s="47">
        <v>2744.06</v>
      </c>
      <c r="G22" s="12"/>
      <c r="I22"/>
    </row>
    <row r="23" spans="1:9" s="20" customFormat="1" outlineLevel="1">
      <c r="A23" s="10" t="s">
        <v>7</v>
      </c>
      <c r="B23" s="47">
        <v>3634.63</v>
      </c>
      <c r="C23" s="47">
        <v>3309.2799999999997</v>
      </c>
      <c r="D23" s="11"/>
      <c r="E23" s="47">
        <v>3634.63</v>
      </c>
      <c r="F23" s="47">
        <v>3309.2799999999997</v>
      </c>
      <c r="G23" s="12"/>
      <c r="I23"/>
    </row>
    <row r="24" spans="1:9" s="20" customFormat="1" outlineLevel="1">
      <c r="A24" s="10" t="s">
        <v>8</v>
      </c>
      <c r="B24" s="47">
        <v>5446.31</v>
      </c>
      <c r="C24" s="47">
        <v>4734.01</v>
      </c>
      <c r="D24" s="11"/>
      <c r="E24" s="47">
        <v>5446.31</v>
      </c>
      <c r="F24" s="47">
        <v>4734.01</v>
      </c>
      <c r="G24" s="12"/>
      <c r="I24" s="54"/>
    </row>
    <row r="25" spans="1:9" s="20" customFormat="1" outlineLevel="1">
      <c r="A25" s="10" t="s">
        <v>9</v>
      </c>
      <c r="B25" s="47">
        <v>149.47</v>
      </c>
      <c r="C25" s="47">
        <v>222.82</v>
      </c>
      <c r="D25" s="11"/>
      <c r="E25" s="47">
        <v>149.47</v>
      </c>
      <c r="F25" s="47">
        <v>222.82</v>
      </c>
      <c r="G25" s="12"/>
      <c r="I25" s="54"/>
    </row>
    <row r="26" spans="1:9" s="20" customFormat="1">
      <c r="A26" s="14" t="s">
        <v>10</v>
      </c>
      <c r="B26" s="45">
        <f>SUM(B22:B25)</f>
        <v>12249.730000000001</v>
      </c>
      <c r="C26" s="45">
        <f t="shared" ref="C26" si="9">SUM(C22:C25)</f>
        <v>11010.17</v>
      </c>
      <c r="D26" s="23">
        <f>C26/B26-1</f>
        <v>-0.10119080175644701</v>
      </c>
      <c r="E26" s="45">
        <f t="shared" ref="E26" si="10">SUM(E22:E25)</f>
        <v>12249.730000000001</v>
      </c>
      <c r="F26" s="45">
        <f>SUM(F22:F25)</f>
        <v>11010.17</v>
      </c>
      <c r="G26" s="23">
        <f>F26/E26-1</f>
        <v>-0.10119080175644701</v>
      </c>
      <c r="I26" s="21"/>
    </row>
    <row r="27" spans="1:9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9" s="20" customFormat="1" outlineLevel="1">
      <c r="A28" s="10" t="s">
        <v>8</v>
      </c>
      <c r="B28" s="47">
        <v>8556.0820848000003</v>
      </c>
      <c r="C28" s="58">
        <f>74297399893/(10^7)</f>
        <v>7429.7399893000002</v>
      </c>
      <c r="D28" s="11"/>
      <c r="E28" s="47">
        <v>8556.0820848000003</v>
      </c>
      <c r="F28" s="47">
        <v>7395.1065798</v>
      </c>
      <c r="G28" s="12"/>
      <c r="H28" s="21"/>
      <c r="I28" s="54"/>
    </row>
    <row r="29" spans="1:9" s="20" customFormat="1" outlineLevel="1">
      <c r="A29" s="10" t="s">
        <v>9</v>
      </c>
      <c r="B29" s="47">
        <v>139.9225452</v>
      </c>
      <c r="C29" s="58">
        <f>673336317/(10^7)</f>
        <v>67.333631699999998</v>
      </c>
      <c r="D29" s="11"/>
      <c r="E29" s="47">
        <v>139.9225452</v>
      </c>
      <c r="F29" s="47">
        <v>67.245150699999996</v>
      </c>
      <c r="G29" s="12"/>
      <c r="H29" s="21"/>
      <c r="I29" s="54"/>
    </row>
    <row r="30" spans="1:9" s="20" customFormat="1">
      <c r="A30" s="14" t="s">
        <v>11</v>
      </c>
      <c r="B30" s="45">
        <f t="shared" ref="B30" si="11">SUM(B28:B29)</f>
        <v>8696.0046299999995</v>
      </c>
      <c r="C30" s="45">
        <f>SUM(C28:C29)</f>
        <v>7497.0736210000005</v>
      </c>
      <c r="D30" s="23">
        <f>C30/B30-1</f>
        <v>-0.13787147776622088</v>
      </c>
      <c r="E30" s="45">
        <f>SUM(E28:E29)</f>
        <v>8696.0046299999995</v>
      </c>
      <c r="F30" s="45">
        <f>SUM(F28:F29)</f>
        <v>7462.3517304999996</v>
      </c>
      <c r="G30" s="23">
        <f>F30/E30-1</f>
        <v>-0.14186433333350235</v>
      </c>
      <c r="H30" s="21"/>
      <c r="I30"/>
    </row>
    <row r="31" spans="1:9" s="20" customFormat="1">
      <c r="A31" s="4" t="s">
        <v>18</v>
      </c>
      <c r="B31" s="45"/>
      <c r="C31" s="45"/>
      <c r="D31" s="4"/>
      <c r="E31" s="45"/>
      <c r="F31" s="45"/>
      <c r="G31" s="4"/>
      <c r="H31" s="21"/>
      <c r="I31"/>
    </row>
    <row r="32" spans="1:9" s="20" customFormat="1">
      <c r="A32" s="25" t="s">
        <v>6</v>
      </c>
      <c r="B32" s="55">
        <f>B22</f>
        <v>3019.32</v>
      </c>
      <c r="C32" s="55">
        <f t="shared" ref="B32:C33" si="12">C22</f>
        <v>2744.06</v>
      </c>
      <c r="D32" s="29"/>
      <c r="E32" s="55">
        <f t="shared" ref="E32:F33" si="13">E22</f>
        <v>3019.32</v>
      </c>
      <c r="F32" s="55">
        <f t="shared" si="13"/>
        <v>2744.06</v>
      </c>
      <c r="G32" s="24"/>
      <c r="H32" s="21"/>
      <c r="I32"/>
    </row>
    <row r="33" spans="1:9" s="20" customFormat="1">
      <c r="A33" s="26" t="s">
        <v>7</v>
      </c>
      <c r="B33" s="55">
        <f t="shared" si="12"/>
        <v>3634.63</v>
      </c>
      <c r="C33" s="55">
        <f t="shared" si="12"/>
        <v>3309.2799999999997</v>
      </c>
      <c r="D33" s="29"/>
      <c r="E33" s="55">
        <f t="shared" si="13"/>
        <v>3634.63</v>
      </c>
      <c r="F33" s="55">
        <f t="shared" si="13"/>
        <v>3309.2799999999997</v>
      </c>
      <c r="G33" s="24"/>
      <c r="H33" s="21"/>
      <c r="I33"/>
    </row>
    <row r="34" spans="1:9" s="20" customFormat="1">
      <c r="A34" s="26" t="s">
        <v>8</v>
      </c>
      <c r="B34" s="55">
        <f>B24+B28</f>
        <v>14002.392084800002</v>
      </c>
      <c r="C34" s="55">
        <f t="shared" ref="B34:C35" si="14">C24+C28</f>
        <v>12163.7499893</v>
      </c>
      <c r="D34" s="29"/>
      <c r="E34" s="55">
        <f t="shared" ref="E34:F35" si="15">E24+E28</f>
        <v>14002.392084800002</v>
      </c>
      <c r="F34" s="55">
        <f t="shared" si="15"/>
        <v>12129.1165798</v>
      </c>
      <c r="G34" s="24"/>
      <c r="H34" s="21"/>
      <c r="I34"/>
    </row>
    <row r="35" spans="1:9" s="20" customFormat="1">
      <c r="A35" s="26" t="s">
        <v>9</v>
      </c>
      <c r="B35" s="55">
        <f t="shared" si="14"/>
        <v>289.39254519999997</v>
      </c>
      <c r="C35" s="55">
        <f t="shared" si="14"/>
        <v>290.15363170000001</v>
      </c>
      <c r="D35" s="29"/>
      <c r="E35" s="55">
        <f t="shared" si="15"/>
        <v>289.39254519999997</v>
      </c>
      <c r="F35" s="55">
        <f t="shared" si="15"/>
        <v>290.0651507</v>
      </c>
      <c r="G35" s="24"/>
      <c r="H35" s="21"/>
      <c r="I35"/>
    </row>
    <row r="36" spans="1:9" s="20" customFormat="1" ht="15.6">
      <c r="A36" s="30" t="s">
        <v>23</v>
      </c>
      <c r="B36" s="53">
        <f>SUM(B32:B35)</f>
        <v>20945.734630000003</v>
      </c>
      <c r="C36" s="53">
        <f>SUM(C32:C35)</f>
        <v>18507.243621000001</v>
      </c>
      <c r="D36" s="31">
        <f>C36/B36-1</f>
        <v>-0.11641945494274608</v>
      </c>
      <c r="E36" s="53">
        <f>SUM(E32:E35)</f>
        <v>20945.734630000003</v>
      </c>
      <c r="F36" s="53">
        <f>SUM(F32:F35)</f>
        <v>18472.521730500001</v>
      </c>
      <c r="G36" s="31">
        <f>F36/E36-1</f>
        <v>-0.11807716192287121</v>
      </c>
      <c r="H36" s="21"/>
      <c r="I36"/>
    </row>
    <row r="37" spans="1:9" s="20" customFormat="1">
      <c r="A37" s="4" t="s">
        <v>19</v>
      </c>
      <c r="B37" s="45"/>
      <c r="C37" s="45"/>
      <c r="D37" s="4"/>
      <c r="E37" s="45"/>
      <c r="F37" s="45"/>
      <c r="G37" s="4"/>
      <c r="H37" s="21"/>
      <c r="I37"/>
    </row>
    <row r="38" spans="1:9" s="20" customFormat="1">
      <c r="A38" s="25" t="s">
        <v>6</v>
      </c>
      <c r="B38" s="55">
        <f>B6-B22</f>
        <v>35420.922899999998</v>
      </c>
      <c r="C38" s="55">
        <f>C6-C22</f>
        <v>41101.450000000004</v>
      </c>
      <c r="D38" s="28">
        <f t="shared" ref="B38:F41" si="16">D6-D22</f>
        <v>0</v>
      </c>
      <c r="E38" s="55">
        <f t="shared" si="16"/>
        <v>35420.92</v>
      </c>
      <c r="F38" s="55">
        <f t="shared" si="16"/>
        <v>41101.450000000004</v>
      </c>
      <c r="G38" s="29"/>
      <c r="H38" s="21"/>
      <c r="I38"/>
    </row>
    <row r="39" spans="1:9" s="20" customFormat="1">
      <c r="A39" s="26" t="s">
        <v>7</v>
      </c>
      <c r="B39" s="55">
        <f t="shared" si="16"/>
        <v>43776.906300000002</v>
      </c>
      <c r="C39" s="55">
        <f t="shared" si="16"/>
        <v>50229.020000000004</v>
      </c>
      <c r="D39" s="28">
        <f t="shared" si="16"/>
        <v>0</v>
      </c>
      <c r="E39" s="55">
        <f t="shared" si="16"/>
        <v>43776.91</v>
      </c>
      <c r="F39" s="55">
        <f t="shared" si="16"/>
        <v>50229.020000000004</v>
      </c>
      <c r="G39" s="29"/>
      <c r="H39" s="21"/>
      <c r="I39"/>
    </row>
    <row r="40" spans="1:9" s="20" customFormat="1">
      <c r="A40" s="26" t="s">
        <v>8</v>
      </c>
      <c r="B40" s="55">
        <f t="shared" si="16"/>
        <v>48739.683600000004</v>
      </c>
      <c r="C40" s="55">
        <f t="shared" si="16"/>
        <v>57062.689999999995</v>
      </c>
      <c r="D40" s="28">
        <f t="shared" si="16"/>
        <v>0</v>
      </c>
      <c r="E40" s="55">
        <f t="shared" si="16"/>
        <v>48739.68</v>
      </c>
      <c r="F40" s="55">
        <f t="shared" si="16"/>
        <v>57062.689999999995</v>
      </c>
      <c r="G40" s="29"/>
      <c r="H40" s="21"/>
      <c r="I40"/>
    </row>
    <row r="41" spans="1:9" s="20" customFormat="1">
      <c r="A41" s="26" t="s">
        <v>9</v>
      </c>
      <c r="B41" s="55">
        <f t="shared" si="16"/>
        <v>10974.516700000002</v>
      </c>
      <c r="C41" s="55">
        <f t="shared" si="16"/>
        <v>12029.220000000001</v>
      </c>
      <c r="D41" s="28">
        <f t="shared" si="16"/>
        <v>0</v>
      </c>
      <c r="E41" s="55">
        <f t="shared" si="16"/>
        <v>10974.52</v>
      </c>
      <c r="F41" s="55">
        <f t="shared" si="16"/>
        <v>12029.220000000001</v>
      </c>
      <c r="G41" s="29"/>
      <c r="H41" s="21"/>
      <c r="I41"/>
    </row>
    <row r="42" spans="1:9" s="20" customFormat="1">
      <c r="A42" s="27" t="s">
        <v>24</v>
      </c>
      <c r="B42" s="56">
        <f t="shared" ref="B42:F42" si="17">SUM(B38:B41)</f>
        <v>138912.0295</v>
      </c>
      <c r="C42" s="56">
        <f t="shared" si="17"/>
        <v>160422.38</v>
      </c>
      <c r="D42" s="23">
        <f>C42/B42-1</f>
        <v>0.15484872388247695</v>
      </c>
      <c r="E42" s="56">
        <f t="shared" si="17"/>
        <v>138912.03</v>
      </c>
      <c r="F42" s="56">
        <f t="shared" si="17"/>
        <v>160422.38</v>
      </c>
      <c r="G42" s="23">
        <f>F42/E42-1</f>
        <v>0.15484871972571423</v>
      </c>
      <c r="H42" s="21"/>
      <c r="I42"/>
    </row>
    <row r="43" spans="1:9" s="20" customFormat="1">
      <c r="A43" s="4" t="s">
        <v>37</v>
      </c>
      <c r="B43" s="45"/>
      <c r="C43" s="45"/>
      <c r="D43" s="4"/>
      <c r="E43" s="45"/>
      <c r="F43" s="45"/>
      <c r="G43" s="4"/>
      <c r="H43" s="21"/>
      <c r="I43"/>
    </row>
    <row r="44" spans="1:9" s="20" customFormat="1">
      <c r="A44" s="26" t="s">
        <v>8</v>
      </c>
      <c r="B44" s="55">
        <f>B12-B28</f>
        <v>26415.9179152</v>
      </c>
      <c r="C44" s="55">
        <f t="shared" ref="B44:F45" si="18">C12-C28</f>
        <v>30396.755331349999</v>
      </c>
      <c r="D44" s="28">
        <f t="shared" si="18"/>
        <v>0</v>
      </c>
      <c r="E44" s="55">
        <f t="shared" si="18"/>
        <v>26415.9179152</v>
      </c>
      <c r="F44" s="55">
        <f t="shared" si="18"/>
        <v>30431.388740850001</v>
      </c>
      <c r="G44" s="29"/>
      <c r="H44" s="21"/>
      <c r="I44"/>
    </row>
    <row r="45" spans="1:9" s="20" customFormat="1">
      <c r="A45" s="26" t="s">
        <v>9</v>
      </c>
      <c r="B45" s="55">
        <f t="shared" si="18"/>
        <v>761.07745479999994</v>
      </c>
      <c r="C45" s="55">
        <f t="shared" si="18"/>
        <v>940.68563299999994</v>
      </c>
      <c r="D45" s="28">
        <f t="shared" si="18"/>
        <v>0</v>
      </c>
      <c r="E45" s="55">
        <f t="shared" si="18"/>
        <v>761.07745479999994</v>
      </c>
      <c r="F45" s="55">
        <f t="shared" si="18"/>
        <v>940.77411399999994</v>
      </c>
      <c r="G45" s="29"/>
      <c r="H45" s="21"/>
      <c r="I45"/>
    </row>
    <row r="46" spans="1:9" s="20" customFormat="1">
      <c r="A46" s="27" t="s">
        <v>55</v>
      </c>
      <c r="B46" s="56">
        <f t="shared" ref="B46:F46" si="19">SUM(B44:B45)</f>
        <v>27176.995370000001</v>
      </c>
      <c r="C46" s="56">
        <f>SUM(C44:C45)</f>
        <v>31337.44096435</v>
      </c>
      <c r="D46" s="23">
        <f>C46/B46-1</f>
        <v>0.15308703326868178</v>
      </c>
      <c r="E46" s="56">
        <f t="shared" si="19"/>
        <v>27176.995370000001</v>
      </c>
      <c r="F46" s="56">
        <f t="shared" si="19"/>
        <v>31372.162854850001</v>
      </c>
      <c r="G46" s="23">
        <f>F46/E46-1</f>
        <v>0.15436465391906196</v>
      </c>
      <c r="H46" s="21"/>
      <c r="I46"/>
    </row>
    <row r="47" spans="1:9">
      <c r="A47" s="4" t="s">
        <v>16</v>
      </c>
      <c r="B47" s="45"/>
      <c r="C47" s="45"/>
      <c r="D47" s="4"/>
      <c r="E47" s="45"/>
      <c r="F47" s="45"/>
      <c r="G47" s="4"/>
    </row>
    <row r="48" spans="1:9" ht="15.6">
      <c r="A48" s="49" t="s">
        <v>6</v>
      </c>
      <c r="B48" s="51">
        <f>B38</f>
        <v>35420.922899999998</v>
      </c>
      <c r="C48" s="51">
        <f t="shared" ref="B48:C49" si="20">C38</f>
        <v>41101.450000000004</v>
      </c>
      <c r="D48" s="57"/>
      <c r="E48" s="51">
        <f t="shared" ref="E48:F49" si="21">E38</f>
        <v>35420.92</v>
      </c>
      <c r="F48" s="51">
        <f t="shared" si="21"/>
        <v>41101.450000000004</v>
      </c>
      <c r="G48" s="52"/>
    </row>
    <row r="49" spans="1:7" ht="15.6">
      <c r="A49" s="49" t="s">
        <v>7</v>
      </c>
      <c r="B49" s="51">
        <f t="shared" si="20"/>
        <v>43776.906300000002</v>
      </c>
      <c r="C49" s="51">
        <f t="shared" si="20"/>
        <v>50229.020000000004</v>
      </c>
      <c r="D49" s="52"/>
      <c r="E49" s="51">
        <f t="shared" si="21"/>
        <v>43776.91</v>
      </c>
      <c r="F49" s="51">
        <f t="shared" si="21"/>
        <v>50229.020000000004</v>
      </c>
      <c r="G49" s="52"/>
    </row>
    <row r="50" spans="1:7" ht="15.6">
      <c r="A50" s="49" t="s">
        <v>8</v>
      </c>
      <c r="B50" s="51">
        <f>B40+B44</f>
        <v>75155.601515200004</v>
      </c>
      <c r="C50" s="51">
        <f t="shared" ref="C50:C51" si="22">C40+C44</f>
        <v>87459.445331349998</v>
      </c>
      <c r="D50" s="52"/>
      <c r="E50" s="51">
        <f t="shared" ref="E50:F51" si="23">E40+E44</f>
        <v>75155.597915199993</v>
      </c>
      <c r="F50" s="51">
        <f t="shared" si="23"/>
        <v>87494.078740850004</v>
      </c>
      <c r="G50" s="52"/>
    </row>
    <row r="51" spans="1:7" ht="15.6">
      <c r="A51" s="49" t="s">
        <v>9</v>
      </c>
      <c r="B51" s="51">
        <f>B41+B45</f>
        <v>11735.594154800001</v>
      </c>
      <c r="C51" s="51">
        <f t="shared" si="22"/>
        <v>12969.905633</v>
      </c>
      <c r="D51" s="52"/>
      <c r="E51" s="51">
        <f t="shared" si="23"/>
        <v>11735.597454800001</v>
      </c>
      <c r="F51" s="51">
        <f t="shared" si="23"/>
        <v>12969.994114000001</v>
      </c>
      <c r="G51" s="52" t="s">
        <v>12</v>
      </c>
    </row>
    <row r="52" spans="1:7" ht="15.6">
      <c r="A52" s="18" t="s">
        <v>25</v>
      </c>
      <c r="B52" s="53">
        <f>SUM(B48:B51)</f>
        <v>166089.02487000002</v>
      </c>
      <c r="C52" s="53">
        <f>SUM(C48:C51)</f>
        <v>191759.82096434999</v>
      </c>
      <c r="D52" s="19">
        <f>C52/B52-1</f>
        <v>0.15456046005714597</v>
      </c>
      <c r="E52" s="53">
        <f t="shared" ref="E52" si="24">SUM(E48:E51)</f>
        <v>166089.02537000002</v>
      </c>
      <c r="F52" s="53">
        <f t="shared" ref="F52" si="25">SUM(F48:F51)</f>
        <v>191794.54285485001</v>
      </c>
      <c r="G52" s="19">
        <f>F52/E52-1</f>
        <v>0.15476951248034165</v>
      </c>
    </row>
    <row r="53" spans="1:7">
      <c r="B53" s="58"/>
      <c r="C53" s="58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20A-A8D4-1D4B-AC80-31003BD4F3C0}">
  <dimension ref="A1:H55"/>
  <sheetViews>
    <sheetView topLeftCell="A46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60" t="s">
        <v>39</v>
      </c>
      <c r="B1" s="161"/>
      <c r="C1" s="161"/>
      <c r="D1" s="161"/>
      <c r="E1" s="161"/>
      <c r="F1" s="161"/>
      <c r="G1" s="162"/>
    </row>
    <row r="2" spans="1:8" ht="15.6">
      <c r="A2" s="1"/>
      <c r="B2" s="163" t="s">
        <v>0</v>
      </c>
      <c r="C2" s="163"/>
      <c r="D2" s="163"/>
      <c r="E2" s="163" t="s">
        <v>40</v>
      </c>
      <c r="F2" s="163"/>
      <c r="G2" s="163"/>
    </row>
    <row r="3" spans="1:8" ht="15.6">
      <c r="A3" s="2" t="s">
        <v>1</v>
      </c>
      <c r="B3" s="3" t="s">
        <v>46</v>
      </c>
      <c r="C3" s="3" t="s">
        <v>47</v>
      </c>
      <c r="D3" s="2" t="s">
        <v>2</v>
      </c>
      <c r="E3" s="2" t="s">
        <v>48</v>
      </c>
      <c r="F3" s="2" t="s">
        <v>49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28410.65</v>
      </c>
      <c r="C6" s="44">
        <v>32409.040000000001</v>
      </c>
      <c r="D6" s="11"/>
      <c r="E6" s="44">
        <v>66850.89</v>
      </c>
      <c r="F6" s="44">
        <v>76254.55</v>
      </c>
      <c r="G6" s="12"/>
      <c r="H6" s="13"/>
    </row>
    <row r="7" spans="1:8" outlineLevel="1">
      <c r="A7" s="10" t="s">
        <v>7</v>
      </c>
      <c r="B7" s="44">
        <v>35827.94</v>
      </c>
      <c r="C7" s="44">
        <v>40265.360000000001</v>
      </c>
      <c r="D7" s="11"/>
      <c r="E7" s="44">
        <v>83239.48</v>
      </c>
      <c r="F7" s="44">
        <v>93803.66</v>
      </c>
      <c r="G7" s="12"/>
    </row>
    <row r="8" spans="1:8" outlineLevel="1">
      <c r="A8" s="10" t="s">
        <v>8</v>
      </c>
      <c r="B8" s="44">
        <v>39591.06</v>
      </c>
      <c r="C8" s="44">
        <v>47901.72</v>
      </c>
      <c r="D8" s="11"/>
      <c r="E8" s="44">
        <v>93777.06</v>
      </c>
      <c r="F8" s="44">
        <v>109698.41</v>
      </c>
      <c r="G8" s="12"/>
      <c r="H8" s="13"/>
    </row>
    <row r="9" spans="1:8" outlineLevel="1">
      <c r="A9" s="10" t="s">
        <v>9</v>
      </c>
      <c r="B9" s="44">
        <v>10431.379999999999</v>
      </c>
      <c r="C9" s="44">
        <v>11207.2</v>
      </c>
      <c r="D9" s="11"/>
      <c r="E9" s="44">
        <v>21555.37</v>
      </c>
      <c r="F9" s="44">
        <v>23459.24</v>
      </c>
      <c r="G9" s="12"/>
    </row>
    <row r="10" spans="1:8">
      <c r="A10" s="14" t="s">
        <v>20</v>
      </c>
      <c r="B10" s="45">
        <f t="shared" ref="B10:C10" si="0">SUM(B6:B9)</f>
        <v>114261.03</v>
      </c>
      <c r="C10" s="45">
        <f t="shared" si="0"/>
        <v>131783.32</v>
      </c>
      <c r="D10" s="9">
        <f>C10/B10-1</f>
        <v>0.1533531598656166</v>
      </c>
      <c r="E10" s="46">
        <f>SUM(E6:E9)</f>
        <v>265422.8</v>
      </c>
      <c r="F10" s="46">
        <f>SUM(F6:F9)</f>
        <v>303215.86</v>
      </c>
      <c r="G10" s="9">
        <f>F10/E10-1</f>
        <v>0.14238814450002035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41771.57</v>
      </c>
      <c r="C12" s="47">
        <v>39879.255612100002</v>
      </c>
      <c r="D12" s="11"/>
      <c r="E12" s="47">
        <v>76743.92</v>
      </c>
      <c r="F12" s="47">
        <v>77705.755612100009</v>
      </c>
      <c r="G12" s="12"/>
    </row>
    <row r="13" spans="1:8" outlineLevel="1">
      <c r="A13" s="10" t="s">
        <v>9</v>
      </c>
      <c r="B13" s="44">
        <v>1057.33</v>
      </c>
      <c r="C13" s="47">
        <v>1076.3199233999999</v>
      </c>
      <c r="D13" s="11"/>
      <c r="E13" s="47">
        <v>1958.2199999999998</v>
      </c>
      <c r="F13" s="47">
        <v>2084.3399233999999</v>
      </c>
      <c r="G13" s="12"/>
    </row>
    <row r="14" spans="1:8">
      <c r="A14" s="14" t="s">
        <v>45</v>
      </c>
      <c r="B14" s="45">
        <f>SUM(B12:B13)</f>
        <v>42828.9</v>
      </c>
      <c r="C14" s="45">
        <f>SUM(C12:C13)</f>
        <v>40955.5755355</v>
      </c>
      <c r="D14" s="9">
        <f>C14/B14-1</f>
        <v>-4.3739728652848919E-2</v>
      </c>
      <c r="E14" s="45">
        <f t="shared" ref="E14" si="1">SUM(E12:E13)</f>
        <v>78702.14</v>
      </c>
      <c r="F14" s="45">
        <f t="shared" ref="F14" si="2">SUM(F12:F13)</f>
        <v>79790.095535500004</v>
      </c>
      <c r="G14" s="23">
        <f>F14/E14-1</f>
        <v>1.3823709692011077E-2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3">B6</f>
        <v>28410.65</v>
      </c>
      <c r="C16" s="51">
        <f t="shared" si="3"/>
        <v>32409.040000000001</v>
      </c>
      <c r="D16" s="52"/>
      <c r="E16" s="51">
        <f t="shared" ref="E16:F17" si="4">E6</f>
        <v>66850.89</v>
      </c>
      <c r="F16" s="51">
        <f t="shared" si="4"/>
        <v>76254.55</v>
      </c>
      <c r="G16" s="52"/>
    </row>
    <row r="17" spans="1:8" ht="15.6">
      <c r="A17" s="49" t="s">
        <v>7</v>
      </c>
      <c r="B17" s="50">
        <f t="shared" si="3"/>
        <v>35827.94</v>
      </c>
      <c r="C17" s="51">
        <f t="shared" si="3"/>
        <v>40265.360000000001</v>
      </c>
      <c r="D17" s="52"/>
      <c r="E17" s="51">
        <f t="shared" si="4"/>
        <v>83239.48</v>
      </c>
      <c r="F17" s="51">
        <f t="shared" si="4"/>
        <v>93803.66</v>
      </c>
      <c r="G17" s="52"/>
    </row>
    <row r="18" spans="1:8" ht="15.6">
      <c r="A18" s="49" t="s">
        <v>8</v>
      </c>
      <c r="B18" s="50">
        <f t="shared" ref="B18:C19" si="5">B8+B12</f>
        <v>81362.63</v>
      </c>
      <c r="C18" s="51">
        <f t="shared" si="5"/>
        <v>87780.97561210001</v>
      </c>
      <c r="D18" s="52"/>
      <c r="E18" s="51">
        <f t="shared" ref="E18:F19" si="6">E8+E12</f>
        <v>170520.97999999998</v>
      </c>
      <c r="F18" s="51">
        <f t="shared" si="6"/>
        <v>187404.16561210001</v>
      </c>
      <c r="G18" s="52"/>
    </row>
    <row r="19" spans="1:8" ht="15.6">
      <c r="A19" s="49" t="s">
        <v>9</v>
      </c>
      <c r="B19" s="50">
        <f t="shared" si="5"/>
        <v>11488.71</v>
      </c>
      <c r="C19" s="51">
        <f t="shared" si="5"/>
        <v>12283.519923400001</v>
      </c>
      <c r="D19" s="52"/>
      <c r="E19" s="51">
        <f t="shared" si="6"/>
        <v>23513.59</v>
      </c>
      <c r="F19" s="51">
        <f t="shared" si="6"/>
        <v>25543.579923400001</v>
      </c>
      <c r="G19" s="52"/>
    </row>
    <row r="20" spans="1:8" ht="15.6">
      <c r="A20" s="18" t="s">
        <v>22</v>
      </c>
      <c r="B20" s="53">
        <f>SUM(B16:B19)</f>
        <v>157089.93</v>
      </c>
      <c r="C20" s="53">
        <f t="shared" ref="C20:F20" si="7">SUM(C16:C19)</f>
        <v>172738.89553549999</v>
      </c>
      <c r="D20" s="19">
        <f>C20/B20-1</f>
        <v>9.9617878342042721E-2</v>
      </c>
      <c r="E20" s="53">
        <f t="shared" ref="E20" si="8">SUM(E16:E19)</f>
        <v>344124.94</v>
      </c>
      <c r="F20" s="53">
        <f t="shared" si="7"/>
        <v>383005.95553550002</v>
      </c>
      <c r="G20" s="19">
        <f>F20/E20-1</f>
        <v>0.11298517200032054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3057.53</v>
      </c>
      <c r="C22" s="47">
        <v>3200.55</v>
      </c>
      <c r="D22" s="11"/>
      <c r="E22" s="47">
        <v>6076.85</v>
      </c>
      <c r="F22" s="60">
        <v>5914.67</v>
      </c>
      <c r="G22" s="12"/>
    </row>
    <row r="23" spans="1:8" s="20" customFormat="1" outlineLevel="1">
      <c r="A23" s="10" t="s">
        <v>7</v>
      </c>
      <c r="B23" s="47">
        <v>3843.75</v>
      </c>
      <c r="C23" s="47">
        <v>4093.2799999999997</v>
      </c>
      <c r="D23" s="11"/>
      <c r="E23" s="47">
        <v>7478.380000000001</v>
      </c>
      <c r="F23" s="60">
        <v>7365.94</v>
      </c>
      <c r="G23" s="12"/>
    </row>
    <row r="24" spans="1:8" s="20" customFormat="1" outlineLevel="1">
      <c r="A24" s="10" t="s">
        <v>8</v>
      </c>
      <c r="B24" s="47">
        <v>5924.7300000000005</v>
      </c>
      <c r="C24" s="47">
        <v>4361.3999999999996</v>
      </c>
      <c r="D24" s="11"/>
      <c r="E24" s="47">
        <v>11371.05</v>
      </c>
      <c r="F24" s="60">
        <v>9088.630000000001</v>
      </c>
      <c r="G24" s="12"/>
    </row>
    <row r="25" spans="1:8" s="20" customFormat="1" outlineLevel="1">
      <c r="A25" s="10" t="s">
        <v>9</v>
      </c>
      <c r="B25" s="47">
        <v>191.47</v>
      </c>
      <c r="C25" s="47">
        <v>309.03999999999996</v>
      </c>
      <c r="D25" s="11"/>
      <c r="E25" s="47">
        <v>340.94</v>
      </c>
      <c r="F25" s="60">
        <v>531.83999999999992</v>
      </c>
      <c r="G25" s="12"/>
    </row>
    <row r="26" spans="1:8" s="20" customFormat="1">
      <c r="A26" s="14" t="s">
        <v>10</v>
      </c>
      <c r="B26" s="45">
        <f>SUM(B22:B25)</f>
        <v>13017.480000000001</v>
      </c>
      <c r="C26" s="45">
        <f t="shared" ref="C26" si="9">SUM(C22:C25)</f>
        <v>11964.27</v>
      </c>
      <c r="D26" s="23">
        <f>C26/B26-1</f>
        <v>-8.090736455903913E-2</v>
      </c>
      <c r="E26" s="45">
        <f t="shared" ref="E26" si="10">SUM(E22:E25)</f>
        <v>25267.219999999998</v>
      </c>
      <c r="F26" s="45">
        <f>SUM(F22:F25)</f>
        <v>22901.08</v>
      </c>
      <c r="G26" s="23">
        <f>F26/E26-1</f>
        <v>-9.3644651053815808E-2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8833.7583044000003</v>
      </c>
      <c r="C28" s="47">
        <v>16215.2026382</v>
      </c>
      <c r="D28" s="11"/>
      <c r="E28" s="47">
        <v>17392.938304399999</v>
      </c>
      <c r="F28" s="47">
        <v>23644.942638200002</v>
      </c>
      <c r="G28" s="12"/>
      <c r="H28" s="21"/>
    </row>
    <row r="29" spans="1:8" s="20" customFormat="1" outlineLevel="1">
      <c r="A29" s="10" t="s">
        <v>9</v>
      </c>
      <c r="B29" s="47">
        <v>198.9495891</v>
      </c>
      <c r="C29" s="47">
        <v>230.4675585</v>
      </c>
      <c r="D29" s="11"/>
      <c r="E29" s="47">
        <v>338.50958909999997</v>
      </c>
      <c r="F29" s="47">
        <v>297.79755849999998</v>
      </c>
      <c r="G29" s="12"/>
      <c r="H29" s="21"/>
    </row>
    <row r="30" spans="1:8" s="20" customFormat="1">
      <c r="A30" s="14" t="s">
        <v>11</v>
      </c>
      <c r="B30" s="45">
        <f t="shared" ref="B30" si="11">SUM(B28:B29)</f>
        <v>9032.7078935000009</v>
      </c>
      <c r="C30" s="45">
        <f>SUM(C28:C29)</f>
        <v>16445.670196700001</v>
      </c>
      <c r="D30" s="23">
        <f>C30/B30-1</f>
        <v>0.82067995451667586</v>
      </c>
      <c r="E30" s="45">
        <f>SUM(E28:E29)</f>
        <v>17731.447893499997</v>
      </c>
      <c r="F30" s="45">
        <f>SUM(F28:F29)</f>
        <v>23942.740196700001</v>
      </c>
      <c r="G30" s="23">
        <f>F30/E30-1</f>
        <v>0.35029808848700639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>B22</f>
        <v>3057.53</v>
      </c>
      <c r="C32" s="55">
        <f t="shared" ref="B32:C33" si="12">C22</f>
        <v>3200.55</v>
      </c>
      <c r="D32" s="29"/>
      <c r="E32" s="55">
        <f t="shared" ref="E32:F33" si="13">E22</f>
        <v>6076.85</v>
      </c>
      <c r="F32" s="55">
        <f t="shared" si="13"/>
        <v>5914.67</v>
      </c>
      <c r="G32" s="24"/>
      <c r="H32" s="21"/>
    </row>
    <row r="33" spans="1:8" s="20" customFormat="1">
      <c r="A33" s="26" t="s">
        <v>7</v>
      </c>
      <c r="B33" s="55">
        <f t="shared" si="12"/>
        <v>3843.75</v>
      </c>
      <c r="C33" s="55">
        <f t="shared" si="12"/>
        <v>4093.2799999999997</v>
      </c>
      <c r="D33" s="29"/>
      <c r="E33" s="55">
        <f t="shared" si="13"/>
        <v>7478.380000000001</v>
      </c>
      <c r="F33" s="55">
        <f t="shared" si="13"/>
        <v>7365.94</v>
      </c>
      <c r="G33" s="24"/>
      <c r="H33" s="21"/>
    </row>
    <row r="34" spans="1:8" s="20" customFormat="1">
      <c r="A34" s="26" t="s">
        <v>8</v>
      </c>
      <c r="B34" s="55">
        <f>B24+B28</f>
        <v>14758.488304400002</v>
      </c>
      <c r="C34" s="55">
        <f t="shared" ref="B34:C35" si="14">C24+C28</f>
        <v>20576.602638199998</v>
      </c>
      <c r="D34" s="29"/>
      <c r="E34" s="55">
        <f t="shared" ref="E34:F35" si="15">E24+E28</f>
        <v>28763.988304399998</v>
      </c>
      <c r="F34" s="55">
        <f t="shared" si="15"/>
        <v>32733.572638200003</v>
      </c>
      <c r="G34" s="24"/>
      <c r="H34" s="21"/>
    </row>
    <row r="35" spans="1:8" s="20" customFormat="1">
      <c r="A35" s="26" t="s">
        <v>9</v>
      </c>
      <c r="B35" s="55">
        <f t="shared" si="14"/>
        <v>390.4195891</v>
      </c>
      <c r="C35" s="55">
        <f t="shared" si="14"/>
        <v>539.50755849999996</v>
      </c>
      <c r="D35" s="29"/>
      <c r="E35" s="55">
        <f t="shared" si="15"/>
        <v>679.44958909999991</v>
      </c>
      <c r="F35" s="55">
        <f t="shared" si="15"/>
        <v>829.63755849999984</v>
      </c>
      <c r="G35" s="24"/>
      <c r="H35" s="21"/>
    </row>
    <row r="36" spans="1:8" s="20" customFormat="1" ht="15.6">
      <c r="A36" s="30" t="s">
        <v>23</v>
      </c>
      <c r="B36" s="53">
        <f>SUM(B32:B35)</f>
        <v>22050.187893500002</v>
      </c>
      <c r="C36" s="53">
        <f>SUM(C32:C35)</f>
        <v>28409.940196700001</v>
      </c>
      <c r="D36" s="31">
        <f>C36/B36-1</f>
        <v>0.2884216830222448</v>
      </c>
      <c r="E36" s="53">
        <f>SUM(E32:E35)</f>
        <v>42998.667893499995</v>
      </c>
      <c r="F36" s="53">
        <f>SUM(F32:F35)</f>
        <v>46843.820196699999</v>
      </c>
      <c r="G36" s="31">
        <f>F36/E36-1</f>
        <v>8.9424916900303852E-2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>B6-B22</f>
        <v>25353.120000000003</v>
      </c>
      <c r="C38" s="55">
        <f t="shared" ref="B38:F41" si="16">C6-C22</f>
        <v>29208.49</v>
      </c>
      <c r="D38" s="28">
        <f t="shared" si="16"/>
        <v>0</v>
      </c>
      <c r="E38" s="55">
        <f t="shared" si="16"/>
        <v>60774.04</v>
      </c>
      <c r="F38" s="55">
        <f t="shared" si="16"/>
        <v>70339.88</v>
      </c>
      <c r="G38" s="29"/>
      <c r="H38" s="21"/>
    </row>
    <row r="39" spans="1:8" s="20" customFormat="1">
      <c r="A39" s="26" t="s">
        <v>7</v>
      </c>
      <c r="B39" s="55">
        <f t="shared" si="16"/>
        <v>31984.190000000002</v>
      </c>
      <c r="C39" s="55">
        <f t="shared" si="16"/>
        <v>36172.080000000002</v>
      </c>
      <c r="D39" s="28">
        <f t="shared" si="16"/>
        <v>0</v>
      </c>
      <c r="E39" s="55">
        <f t="shared" si="16"/>
        <v>75761.099999999991</v>
      </c>
      <c r="F39" s="55">
        <f t="shared" si="16"/>
        <v>86437.72</v>
      </c>
      <c r="G39" s="29"/>
      <c r="H39" s="21"/>
    </row>
    <row r="40" spans="1:8" s="20" customFormat="1">
      <c r="A40" s="26" t="s">
        <v>8</v>
      </c>
      <c r="B40" s="55">
        <f t="shared" si="16"/>
        <v>33666.329999999994</v>
      </c>
      <c r="C40" s="55">
        <f t="shared" si="16"/>
        <v>43540.32</v>
      </c>
      <c r="D40" s="28">
        <f t="shared" si="16"/>
        <v>0</v>
      </c>
      <c r="E40" s="55">
        <f t="shared" si="16"/>
        <v>82406.009999999995</v>
      </c>
      <c r="F40" s="55">
        <f t="shared" si="16"/>
        <v>100609.78</v>
      </c>
      <c r="G40" s="29"/>
      <c r="H40" s="21"/>
    </row>
    <row r="41" spans="1:8" s="20" customFormat="1">
      <c r="A41" s="26" t="s">
        <v>9</v>
      </c>
      <c r="B41" s="55">
        <f t="shared" si="16"/>
        <v>10239.91</v>
      </c>
      <c r="C41" s="55">
        <f t="shared" si="16"/>
        <v>10898.16</v>
      </c>
      <c r="D41" s="28">
        <f t="shared" si="16"/>
        <v>0</v>
      </c>
      <c r="E41" s="55">
        <f t="shared" si="16"/>
        <v>21214.43</v>
      </c>
      <c r="F41" s="55">
        <f t="shared" si="16"/>
        <v>22927.4</v>
      </c>
      <c r="G41" s="29"/>
      <c r="H41" s="21"/>
    </row>
    <row r="42" spans="1:8" s="20" customFormat="1">
      <c r="A42" s="27" t="s">
        <v>24</v>
      </c>
      <c r="B42" s="56">
        <f t="shared" ref="B42:F42" si="17">SUM(B38:B41)</f>
        <v>101243.55</v>
      </c>
      <c r="C42" s="56">
        <f t="shared" si="17"/>
        <v>119819.05000000002</v>
      </c>
      <c r="D42" s="23">
        <f>C42/B42-1</f>
        <v>0.18347341633121328</v>
      </c>
      <c r="E42" s="56">
        <f t="shared" si="17"/>
        <v>240155.57999999996</v>
      </c>
      <c r="F42" s="56">
        <f t="shared" si="17"/>
        <v>280314.78000000003</v>
      </c>
      <c r="G42" s="23">
        <f>F42/E42-1</f>
        <v>0.16722159859870867</v>
      </c>
      <c r="H42" s="21"/>
    </row>
    <row r="43" spans="1:8" s="20" customFormat="1">
      <c r="A43" s="4" t="s">
        <v>54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>B12-B28</f>
        <v>32937.811695600001</v>
      </c>
      <c r="C44" s="55">
        <f t="shared" ref="B44:F45" si="18">C12-C28</f>
        <v>23664.052973900001</v>
      </c>
      <c r="D44" s="28">
        <f t="shared" si="18"/>
        <v>0</v>
      </c>
      <c r="E44" s="55">
        <f t="shared" si="18"/>
        <v>59350.9816956</v>
      </c>
      <c r="F44" s="55">
        <f t="shared" si="18"/>
        <v>54060.812973900007</v>
      </c>
      <c r="G44" s="29"/>
      <c r="H44" s="21"/>
    </row>
    <row r="45" spans="1:8" s="20" customFormat="1">
      <c r="A45" s="26" t="s">
        <v>9</v>
      </c>
      <c r="B45" s="55">
        <f t="shared" si="18"/>
        <v>858.3804108999999</v>
      </c>
      <c r="C45" s="55">
        <f t="shared" si="18"/>
        <v>845.85236489999988</v>
      </c>
      <c r="D45" s="28">
        <f t="shared" si="18"/>
        <v>0</v>
      </c>
      <c r="E45" s="55">
        <f t="shared" si="18"/>
        <v>1619.7104108999997</v>
      </c>
      <c r="F45" s="55">
        <f t="shared" si="18"/>
        <v>1786.5423648999999</v>
      </c>
      <c r="G45" s="29"/>
      <c r="H45" s="21"/>
    </row>
    <row r="46" spans="1:8" s="20" customFormat="1">
      <c r="A46" s="27" t="s">
        <v>38</v>
      </c>
      <c r="B46" s="56">
        <f t="shared" ref="B46:F46" si="19">SUM(B44:B45)</f>
        <v>33796.192106499999</v>
      </c>
      <c r="C46" s="56">
        <f>SUM(C44:C45)</f>
        <v>24509.905338800003</v>
      </c>
      <c r="D46" s="23">
        <f>C46/B46-1</f>
        <v>-0.27477316788934847</v>
      </c>
      <c r="E46" s="56">
        <f t="shared" si="19"/>
        <v>60970.692106499999</v>
      </c>
      <c r="F46" s="56">
        <f t="shared" si="19"/>
        <v>55847.355338800007</v>
      </c>
      <c r="G46" s="23">
        <f>F46/E46-1</f>
        <v>-8.4029499923518158E-2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>B38</f>
        <v>25353.120000000003</v>
      </c>
      <c r="C48" s="51">
        <f t="shared" ref="B48:C49" si="20">C38</f>
        <v>29208.49</v>
      </c>
      <c r="D48" s="57"/>
      <c r="E48" s="51">
        <f t="shared" ref="E48:F49" si="21">E38</f>
        <v>60774.04</v>
      </c>
      <c r="F48" s="51">
        <f t="shared" si="21"/>
        <v>70339.88</v>
      </c>
      <c r="G48" s="52"/>
    </row>
    <row r="49" spans="1:7" ht="15.6">
      <c r="A49" s="49" t="s">
        <v>7</v>
      </c>
      <c r="B49" s="51">
        <f t="shared" si="20"/>
        <v>31984.190000000002</v>
      </c>
      <c r="C49" s="51">
        <f t="shared" si="20"/>
        <v>36172.080000000002</v>
      </c>
      <c r="D49" s="52"/>
      <c r="E49" s="51">
        <f t="shared" si="21"/>
        <v>75761.099999999991</v>
      </c>
      <c r="F49" s="51">
        <f t="shared" si="21"/>
        <v>86437.72</v>
      </c>
      <c r="G49" s="52"/>
    </row>
    <row r="50" spans="1:7" ht="15.6">
      <c r="A50" s="49" t="s">
        <v>8</v>
      </c>
      <c r="B50" s="51">
        <f>B40+B44</f>
        <v>66604.141695600003</v>
      </c>
      <c r="C50" s="51">
        <f t="shared" ref="B50:C51" si="22">C40+C44</f>
        <v>67204.372973899997</v>
      </c>
      <c r="D50" s="52"/>
      <c r="E50" s="51">
        <f t="shared" ref="E50:F51" si="23">E40+E44</f>
        <v>141756.99169559998</v>
      </c>
      <c r="F50" s="51">
        <f t="shared" si="23"/>
        <v>154670.5929739</v>
      </c>
      <c r="G50" s="52"/>
    </row>
    <row r="51" spans="1:7" ht="15.6">
      <c r="A51" s="49" t="s">
        <v>9</v>
      </c>
      <c r="B51" s="51">
        <f t="shared" si="22"/>
        <v>11098.290410899999</v>
      </c>
      <c r="C51" s="51">
        <f t="shared" si="22"/>
        <v>11744.0123649</v>
      </c>
      <c r="D51" s="52"/>
      <c r="E51" s="51">
        <f t="shared" si="23"/>
        <v>22834.1404109</v>
      </c>
      <c r="F51" s="51">
        <f t="shared" si="23"/>
        <v>24713.942364900002</v>
      </c>
      <c r="G51" s="52" t="s">
        <v>12</v>
      </c>
    </row>
    <row r="52" spans="1:7" ht="15.6">
      <c r="A52" s="18" t="s">
        <v>25</v>
      </c>
      <c r="B52" s="53">
        <f>SUM(B48:B51)</f>
        <v>135039.74210649999</v>
      </c>
      <c r="C52" s="53">
        <f>SUM(C48:C51)</f>
        <v>144328.95533880001</v>
      </c>
      <c r="D52" s="19">
        <f>C52/B52-1</f>
        <v>6.8788736466735889E-2</v>
      </c>
      <c r="E52" s="53">
        <f t="shared" ref="E52" si="24">SUM(E48:E51)</f>
        <v>301126.27210649999</v>
      </c>
      <c r="F52" s="53">
        <f t="shared" ref="F52" si="25">SUM(F48:F51)</f>
        <v>336162.13533880003</v>
      </c>
      <c r="G52" s="19">
        <f>F52/E52-1</f>
        <v>0.1163494071347877</v>
      </c>
    </row>
    <row r="53" spans="1:7">
      <c r="B53" s="58"/>
      <c r="C53" s="58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AA64-6356-1745-8F24-A7C7DAC7E4E2}">
  <dimension ref="A1:H55"/>
  <sheetViews>
    <sheetView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60" t="s">
        <v>39</v>
      </c>
      <c r="B1" s="161"/>
      <c r="C1" s="161"/>
      <c r="D1" s="161"/>
      <c r="E1" s="161"/>
      <c r="F1" s="161"/>
      <c r="G1" s="162"/>
    </row>
    <row r="2" spans="1:8" ht="15.6">
      <c r="A2" s="1"/>
      <c r="B2" s="165" t="s">
        <v>0</v>
      </c>
      <c r="C2" s="166"/>
      <c r="D2" s="167"/>
      <c r="E2" s="165" t="s">
        <v>40</v>
      </c>
      <c r="F2" s="166"/>
      <c r="G2" s="167"/>
    </row>
    <row r="3" spans="1:8" ht="15.6">
      <c r="A3" s="2" t="s">
        <v>1</v>
      </c>
      <c r="B3" s="3" t="s">
        <v>50</v>
      </c>
      <c r="C3" s="3" t="s">
        <v>51</v>
      </c>
      <c r="D3" s="2" t="s">
        <v>2</v>
      </c>
      <c r="E3" s="2" t="s">
        <v>52</v>
      </c>
      <c r="F3" s="2" t="s">
        <v>53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31012.659299999999</v>
      </c>
      <c r="C6" s="44">
        <v>32627.18</v>
      </c>
      <c r="D6" s="11"/>
      <c r="E6" s="44">
        <v>97863.55</v>
      </c>
      <c r="F6" s="44">
        <v>108881.73</v>
      </c>
      <c r="G6" s="12"/>
      <c r="H6" s="13"/>
    </row>
    <row r="7" spans="1:8" outlineLevel="1">
      <c r="A7" s="10" t="s">
        <v>7</v>
      </c>
      <c r="B7" s="44">
        <v>38292.427100000001</v>
      </c>
      <c r="C7" s="44">
        <v>40714.76</v>
      </c>
      <c r="D7" s="11"/>
      <c r="E7" s="44">
        <v>121531.91</v>
      </c>
      <c r="F7" s="44">
        <v>134518.42000000001</v>
      </c>
      <c r="G7" s="12"/>
    </row>
    <row r="8" spans="1:8" outlineLevel="1">
      <c r="A8" s="10" t="s">
        <v>8</v>
      </c>
      <c r="B8" s="44">
        <v>41256.42</v>
      </c>
      <c r="C8" s="44">
        <v>47269.9</v>
      </c>
      <c r="D8" s="11"/>
      <c r="E8" s="44">
        <v>135033.47</v>
      </c>
      <c r="F8" s="44">
        <v>156968.31</v>
      </c>
      <c r="G8" s="12"/>
      <c r="H8" s="13"/>
    </row>
    <row r="9" spans="1:8" outlineLevel="1">
      <c r="A9" s="10" t="s">
        <v>9</v>
      </c>
      <c r="B9" s="44">
        <v>10872.02</v>
      </c>
      <c r="C9" s="44">
        <v>12188.32</v>
      </c>
      <c r="D9" s="11"/>
      <c r="E9" s="44">
        <v>32427.39</v>
      </c>
      <c r="F9" s="44">
        <v>35647.550000000003</v>
      </c>
      <c r="G9" s="12"/>
    </row>
    <row r="10" spans="1:8">
      <c r="A10" s="14" t="s">
        <v>20</v>
      </c>
      <c r="B10" s="45">
        <f t="shared" ref="B10" si="0">SUM(B6:B9)</f>
        <v>121433.5264</v>
      </c>
      <c r="C10" s="45">
        <f t="shared" ref="C10" si="1">SUM(C6:C9)</f>
        <v>132800.16</v>
      </c>
      <c r="D10" s="9">
        <f>C10/B10-1</f>
        <v>9.3603751261892132E-2</v>
      </c>
      <c r="E10" s="46">
        <f>SUM(E6:E9)</f>
        <v>386856.32000000007</v>
      </c>
      <c r="F10" s="46">
        <f>SUM(F6:F9)</f>
        <v>436016.01</v>
      </c>
      <c r="G10" s="9">
        <f>F10/E10-1</f>
        <v>0.12707480131124638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39035.300000000003</v>
      </c>
      <c r="C12" s="47">
        <v>40040.362749100001</v>
      </c>
      <c r="D12" s="11"/>
      <c r="E12" s="47">
        <v>115779.22</v>
      </c>
      <c r="F12" s="47">
        <v>117746.1227491</v>
      </c>
      <c r="G12" s="12"/>
    </row>
    <row r="13" spans="1:8" outlineLevel="1">
      <c r="A13" s="10" t="s">
        <v>9</v>
      </c>
      <c r="B13" s="44">
        <v>1027.98</v>
      </c>
      <c r="C13" s="47">
        <v>972.02288930000009</v>
      </c>
      <c r="D13" s="11"/>
      <c r="E13" s="47">
        <v>2986.2</v>
      </c>
      <c r="F13" s="47">
        <v>3056.3628893000005</v>
      </c>
      <c r="G13" s="12"/>
    </row>
    <row r="14" spans="1:8">
      <c r="A14" s="14" t="s">
        <v>45</v>
      </c>
      <c r="B14" s="45">
        <f>SUM(B12:B13)</f>
        <v>40063.280000000006</v>
      </c>
      <c r="C14" s="45">
        <f>SUM(C12:C13)</f>
        <v>41012.385638400003</v>
      </c>
      <c r="D14" s="9">
        <f>C14/B14-1</f>
        <v>2.3690163121941055E-2</v>
      </c>
      <c r="E14" s="45">
        <f t="shared" ref="E14" si="2">SUM(E12:E13)</f>
        <v>118765.42</v>
      </c>
      <c r="F14" s="45">
        <f t="shared" ref="F14" si="3">SUM(F12:F13)</f>
        <v>120802.4856384</v>
      </c>
      <c r="G14" s="23">
        <f>F14/E14-1</f>
        <v>1.7152009721348227E-2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4">B6</f>
        <v>31012.659299999999</v>
      </c>
      <c r="C16" s="51">
        <f t="shared" si="4"/>
        <v>32627.18</v>
      </c>
      <c r="D16" s="52"/>
      <c r="E16" s="51">
        <f t="shared" ref="E16:F17" si="5">E6</f>
        <v>97863.55</v>
      </c>
      <c r="F16" s="51">
        <f t="shared" si="5"/>
        <v>108881.73</v>
      </c>
      <c r="G16" s="52"/>
    </row>
    <row r="17" spans="1:8" ht="15.6">
      <c r="A17" s="49" t="s">
        <v>7</v>
      </c>
      <c r="B17" s="50">
        <f t="shared" si="4"/>
        <v>38292.427100000001</v>
      </c>
      <c r="C17" s="51">
        <f t="shared" si="4"/>
        <v>40714.76</v>
      </c>
      <c r="D17" s="52"/>
      <c r="E17" s="51">
        <f t="shared" si="5"/>
        <v>121531.91</v>
      </c>
      <c r="F17" s="51">
        <f t="shared" si="5"/>
        <v>134518.42000000001</v>
      </c>
      <c r="G17" s="52"/>
    </row>
    <row r="18" spans="1:8" ht="15.6">
      <c r="A18" s="49" t="s">
        <v>8</v>
      </c>
      <c r="B18" s="50">
        <f t="shared" ref="B18:C19" si="6">B8+B12</f>
        <v>80291.72</v>
      </c>
      <c r="C18" s="51">
        <f t="shared" si="6"/>
        <v>87310.262749100002</v>
      </c>
      <c r="D18" s="52"/>
      <c r="E18" s="51">
        <f t="shared" ref="E18:F19" si="7">E8+E12</f>
        <v>250812.69</v>
      </c>
      <c r="F18" s="51">
        <f t="shared" si="7"/>
        <v>274714.43274910003</v>
      </c>
      <c r="G18" s="52"/>
    </row>
    <row r="19" spans="1:8" ht="15.6">
      <c r="A19" s="49" t="s">
        <v>9</v>
      </c>
      <c r="B19" s="50">
        <f t="shared" si="6"/>
        <v>11900</v>
      </c>
      <c r="C19" s="51">
        <f t="shared" si="6"/>
        <v>13160.3428893</v>
      </c>
      <c r="D19" s="52"/>
      <c r="E19" s="51">
        <f t="shared" si="7"/>
        <v>35413.589999999997</v>
      </c>
      <c r="F19" s="51">
        <f t="shared" si="7"/>
        <v>38703.912889300002</v>
      </c>
      <c r="G19" s="52"/>
    </row>
    <row r="20" spans="1:8" ht="15.6">
      <c r="A20" s="18" t="s">
        <v>22</v>
      </c>
      <c r="B20" s="53">
        <f>SUM(B16:B19)</f>
        <v>161496.8064</v>
      </c>
      <c r="C20" s="53">
        <f t="shared" ref="C20:F20" si="8">SUM(C16:C19)</f>
        <v>173812.54563839998</v>
      </c>
      <c r="D20" s="19">
        <f>C20/B20-1</f>
        <v>7.6259955307698135E-2</v>
      </c>
      <c r="E20" s="53">
        <f t="shared" ref="E20" si="9">SUM(E16:E19)</f>
        <v>505621.74</v>
      </c>
      <c r="F20" s="53">
        <f t="shared" si="8"/>
        <v>556818.49563840008</v>
      </c>
      <c r="G20" s="19">
        <f>F20/E20-1</f>
        <v>0.1012550521233524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2246.4</v>
      </c>
      <c r="C22" s="47">
        <v>2897.52</v>
      </c>
      <c r="D22" s="11"/>
      <c r="E22" s="47">
        <v>8323.25</v>
      </c>
      <c r="F22" s="59">
        <v>8787.42</v>
      </c>
      <c r="G22" s="12"/>
    </row>
    <row r="23" spans="1:8" s="20" customFormat="1" outlineLevel="1">
      <c r="A23" s="10" t="s">
        <v>7</v>
      </c>
      <c r="B23" s="47">
        <v>2734.83</v>
      </c>
      <c r="C23" s="47">
        <v>3694.27</v>
      </c>
      <c r="D23" s="11"/>
      <c r="E23" s="47">
        <v>10213.220000000001</v>
      </c>
      <c r="F23" s="59">
        <v>11035.45</v>
      </c>
      <c r="G23" s="12"/>
    </row>
    <row r="24" spans="1:8" s="20" customFormat="1" outlineLevel="1">
      <c r="A24" s="10" t="s">
        <v>8</v>
      </c>
      <c r="B24" s="47">
        <v>4244.33</v>
      </c>
      <c r="C24" s="47">
        <v>4337.3500000000004</v>
      </c>
      <c r="D24" s="11"/>
      <c r="E24" s="47">
        <v>15615.39</v>
      </c>
      <c r="F24" s="59">
        <v>13423.02</v>
      </c>
      <c r="G24" s="12"/>
    </row>
    <row r="25" spans="1:8" s="20" customFormat="1" outlineLevel="1">
      <c r="A25" s="10" t="s">
        <v>9</v>
      </c>
      <c r="B25" s="47">
        <v>150.43</v>
      </c>
      <c r="C25" s="47">
        <v>243.42</v>
      </c>
      <c r="D25" s="11"/>
      <c r="E25" s="47">
        <v>491.38</v>
      </c>
      <c r="F25" s="59">
        <v>775.27</v>
      </c>
      <c r="G25" s="12"/>
    </row>
    <row r="26" spans="1:8" s="20" customFormat="1">
      <c r="A26" s="14" t="s">
        <v>10</v>
      </c>
      <c r="B26" s="45">
        <f>SUM(B22:B25)</f>
        <v>9375.99</v>
      </c>
      <c r="C26" s="45">
        <f t="shared" ref="C26" si="10">SUM(C22:C25)</f>
        <v>11172.56</v>
      </c>
      <c r="D26" s="23">
        <f>C26/B26-1</f>
        <v>0.19161389890560887</v>
      </c>
      <c r="E26" s="45">
        <f t="shared" ref="E26" si="11">SUM(E22:E25)</f>
        <v>34643.24</v>
      </c>
      <c r="F26" s="35">
        <f>SUM(F22:F25)</f>
        <v>34021.159999999996</v>
      </c>
      <c r="G26" s="23">
        <f>F26/E26-1</f>
        <v>-1.7956750003752631E-2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7252.1380028000003</v>
      </c>
      <c r="C28" s="47">
        <v>8603.5007237999998</v>
      </c>
      <c r="D28" s="11"/>
      <c r="E28" s="47">
        <v>24645.078002800001</v>
      </c>
      <c r="F28" s="47">
        <v>32248.440723800002</v>
      </c>
      <c r="G28" s="12"/>
      <c r="H28" s="21"/>
    </row>
    <row r="29" spans="1:8" s="20" customFormat="1" outlineLevel="1">
      <c r="A29" s="10" t="s">
        <v>9</v>
      </c>
      <c r="B29" s="47">
        <v>92.966326499999994</v>
      </c>
      <c r="C29" s="47">
        <v>169.4531575</v>
      </c>
      <c r="D29" s="11"/>
      <c r="E29" s="47">
        <v>431.47632649999997</v>
      </c>
      <c r="F29" s="47">
        <v>467.25315750000004</v>
      </c>
      <c r="G29" s="12"/>
      <c r="H29" s="21"/>
    </row>
    <row r="30" spans="1:8" s="20" customFormat="1">
      <c r="A30" s="14" t="s">
        <v>11</v>
      </c>
      <c r="B30" s="45">
        <f t="shared" ref="B30" si="12">SUM(B28:B29)</f>
        <v>7345.1043293000002</v>
      </c>
      <c r="C30" s="45">
        <f>SUM(C28:C29)</f>
        <v>8772.9538812999999</v>
      </c>
      <c r="D30" s="23">
        <f>C30/B30-1</f>
        <v>0.19439472715237471</v>
      </c>
      <c r="E30" s="45">
        <f>SUM(E28:E29)</f>
        <v>25076.554329300001</v>
      </c>
      <c r="F30" s="45">
        <v>32715.693881300002</v>
      </c>
      <c r="G30" s="23">
        <f>F30/E30-1</f>
        <v>0.30463274386442563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 t="shared" ref="B32:C33" si="13">B22</f>
        <v>2246.4</v>
      </c>
      <c r="C32" s="55">
        <f t="shared" si="13"/>
        <v>2897.52</v>
      </c>
      <c r="D32" s="29"/>
      <c r="E32" s="55">
        <f t="shared" ref="E32:F33" si="14">E22</f>
        <v>8323.25</v>
      </c>
      <c r="F32" s="55">
        <f t="shared" si="14"/>
        <v>8787.42</v>
      </c>
      <c r="G32" s="24"/>
      <c r="H32" s="21"/>
    </row>
    <row r="33" spans="1:8" s="20" customFormat="1">
      <c r="A33" s="26" t="s">
        <v>7</v>
      </c>
      <c r="B33" s="55">
        <f t="shared" si="13"/>
        <v>2734.83</v>
      </c>
      <c r="C33" s="55">
        <f t="shared" si="13"/>
        <v>3694.27</v>
      </c>
      <c r="D33" s="29"/>
      <c r="E33" s="55">
        <f t="shared" si="14"/>
        <v>10213.220000000001</v>
      </c>
      <c r="F33" s="55">
        <f t="shared" si="14"/>
        <v>11035.45</v>
      </c>
      <c r="G33" s="24"/>
      <c r="H33" s="21"/>
    </row>
    <row r="34" spans="1:8" s="20" customFormat="1">
      <c r="A34" s="26" t="s">
        <v>8</v>
      </c>
      <c r="B34" s="55">
        <f t="shared" ref="B34:C35" si="15">B24+B28</f>
        <v>11496.4680028</v>
      </c>
      <c r="C34" s="55">
        <f t="shared" si="15"/>
        <v>12940.8507238</v>
      </c>
      <c r="D34" s="29"/>
      <c r="E34" s="55">
        <f t="shared" ref="E34:F35" si="16">E24+E28</f>
        <v>40260.4680028</v>
      </c>
      <c r="F34" s="55">
        <f t="shared" si="16"/>
        <v>45671.460723800003</v>
      </c>
      <c r="G34" s="24"/>
      <c r="H34" s="21"/>
    </row>
    <row r="35" spans="1:8" s="20" customFormat="1">
      <c r="A35" s="26" t="s">
        <v>9</v>
      </c>
      <c r="B35" s="55">
        <f t="shared" si="15"/>
        <v>243.39632649999999</v>
      </c>
      <c r="C35" s="55">
        <f t="shared" si="15"/>
        <v>412.87315749999999</v>
      </c>
      <c r="D35" s="29"/>
      <c r="E35" s="55">
        <f t="shared" si="16"/>
        <v>922.85632650000002</v>
      </c>
      <c r="F35" s="55">
        <f t="shared" si="16"/>
        <v>1242.5231575</v>
      </c>
      <c r="G35" s="24"/>
      <c r="H35" s="21"/>
    </row>
    <row r="36" spans="1:8" s="20" customFormat="1" ht="15.6">
      <c r="A36" s="30" t="s">
        <v>23</v>
      </c>
      <c r="B36" s="53">
        <f>SUM(B32:B35)</f>
        <v>16721.094329299998</v>
      </c>
      <c r="C36" s="53">
        <f>SUM(C32:C35)</f>
        <v>19945.513881299998</v>
      </c>
      <c r="D36" s="31">
        <f>C36/B36-1</f>
        <v>0.19283543818958804</v>
      </c>
      <c r="E36" s="53">
        <f>SUM(E32:E35)</f>
        <v>59719.794329299999</v>
      </c>
      <c r="F36" s="53">
        <f>SUM(F32:F35)</f>
        <v>66736.853881300005</v>
      </c>
      <c r="G36" s="31">
        <f>F36/E36-1</f>
        <v>0.11749972736522407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 t="shared" ref="B38:F41" si="17">B6-B22</f>
        <v>28766.259299999998</v>
      </c>
      <c r="C38" s="55">
        <f t="shared" si="17"/>
        <v>29729.66</v>
      </c>
      <c r="D38" s="28">
        <f t="shared" si="17"/>
        <v>0</v>
      </c>
      <c r="E38" s="55">
        <f t="shared" si="17"/>
        <v>89540.3</v>
      </c>
      <c r="F38" s="55">
        <f t="shared" si="17"/>
        <v>100094.31</v>
      </c>
      <c r="G38" s="29"/>
      <c r="H38" s="21"/>
    </row>
    <row r="39" spans="1:8" s="20" customFormat="1">
      <c r="A39" s="26" t="s">
        <v>7</v>
      </c>
      <c r="B39" s="55">
        <f t="shared" si="17"/>
        <v>35557.597099999999</v>
      </c>
      <c r="C39" s="55">
        <f t="shared" si="17"/>
        <v>37020.490000000005</v>
      </c>
      <c r="D39" s="28">
        <f t="shared" si="17"/>
        <v>0</v>
      </c>
      <c r="E39" s="55">
        <f t="shared" si="17"/>
        <v>111318.69</v>
      </c>
      <c r="F39" s="55">
        <f t="shared" si="17"/>
        <v>123482.97000000002</v>
      </c>
      <c r="G39" s="29"/>
      <c r="H39" s="21"/>
    </row>
    <row r="40" spans="1:8" s="20" customFormat="1">
      <c r="A40" s="26" t="s">
        <v>8</v>
      </c>
      <c r="B40" s="55">
        <f t="shared" si="17"/>
        <v>37012.089999999997</v>
      </c>
      <c r="C40" s="55">
        <f t="shared" si="17"/>
        <v>42932.55</v>
      </c>
      <c r="D40" s="28">
        <f t="shared" si="17"/>
        <v>0</v>
      </c>
      <c r="E40" s="55">
        <f t="shared" si="17"/>
        <v>119418.08</v>
      </c>
      <c r="F40" s="55">
        <f t="shared" si="17"/>
        <v>143545.29</v>
      </c>
      <c r="G40" s="29"/>
      <c r="H40" s="21"/>
    </row>
    <row r="41" spans="1:8" s="20" customFormat="1">
      <c r="A41" s="26" t="s">
        <v>9</v>
      </c>
      <c r="B41" s="55">
        <f t="shared" si="17"/>
        <v>10721.59</v>
      </c>
      <c r="C41" s="55">
        <f t="shared" si="17"/>
        <v>11944.9</v>
      </c>
      <c r="D41" s="28">
        <f t="shared" si="17"/>
        <v>0</v>
      </c>
      <c r="E41" s="55">
        <f t="shared" si="17"/>
        <v>31936.01</v>
      </c>
      <c r="F41" s="55">
        <f t="shared" si="17"/>
        <v>34872.280000000006</v>
      </c>
      <c r="G41" s="29"/>
      <c r="H41" s="21"/>
    </row>
    <row r="42" spans="1:8" s="20" customFormat="1">
      <c r="A42" s="27" t="s">
        <v>24</v>
      </c>
      <c r="B42" s="56">
        <f t="shared" ref="B42:F42" si="18">SUM(B38:B41)</f>
        <v>112057.53639999998</v>
      </c>
      <c r="C42" s="56">
        <f t="shared" si="18"/>
        <v>121627.6</v>
      </c>
      <c r="D42" s="23">
        <f>C42/B42-1</f>
        <v>8.5403123319066854E-2</v>
      </c>
      <c r="E42" s="56">
        <f t="shared" si="18"/>
        <v>352213.08</v>
      </c>
      <c r="F42" s="56">
        <f t="shared" si="18"/>
        <v>401994.85000000009</v>
      </c>
      <c r="G42" s="23">
        <f>F42/E42-1</f>
        <v>0.14133992411639018</v>
      </c>
      <c r="H42" s="21"/>
    </row>
    <row r="43" spans="1:8" s="20" customFormat="1">
      <c r="A43" s="4" t="s">
        <v>37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 t="shared" ref="B44:F45" si="19">B12-B28</f>
        <v>31783.161997200004</v>
      </c>
      <c r="C44" s="55">
        <f t="shared" si="19"/>
        <v>31436.862025300001</v>
      </c>
      <c r="D44" s="28">
        <f t="shared" si="19"/>
        <v>0</v>
      </c>
      <c r="E44" s="55">
        <f t="shared" si="19"/>
        <v>91134.1419972</v>
      </c>
      <c r="F44" s="55">
        <f t="shared" si="19"/>
        <v>85497.682025300004</v>
      </c>
      <c r="G44" s="29"/>
      <c r="H44" s="21"/>
    </row>
    <row r="45" spans="1:8" s="20" customFormat="1">
      <c r="A45" s="26" t="s">
        <v>9</v>
      </c>
      <c r="B45" s="55">
        <f t="shared" si="19"/>
        <v>935.01367349999998</v>
      </c>
      <c r="C45" s="55">
        <f t="shared" si="19"/>
        <v>802.56973180000011</v>
      </c>
      <c r="D45" s="28">
        <f t="shared" si="19"/>
        <v>0</v>
      </c>
      <c r="E45" s="55">
        <f t="shared" si="19"/>
        <v>2554.7236734999997</v>
      </c>
      <c r="F45" s="55">
        <f t="shared" si="19"/>
        <v>2589.1097318000002</v>
      </c>
      <c r="G45" s="29"/>
      <c r="H45" s="21"/>
    </row>
    <row r="46" spans="1:8" s="20" customFormat="1">
      <c r="A46" s="27" t="s">
        <v>38</v>
      </c>
      <c r="B46" s="56">
        <f t="shared" ref="B46:F46" si="20">SUM(B44:B45)</f>
        <v>32718.175670700006</v>
      </c>
      <c r="C46" s="56">
        <f t="shared" si="20"/>
        <v>32239.431757099999</v>
      </c>
      <c r="D46" s="23">
        <f>C46/B46-1</f>
        <v>-1.4632353540076304E-2</v>
      </c>
      <c r="E46" s="56">
        <f t="shared" si="20"/>
        <v>93688.865670700005</v>
      </c>
      <c r="F46" s="56">
        <f t="shared" si="20"/>
        <v>88086.7917571</v>
      </c>
      <c r="G46" s="23">
        <f>F46/E46-1</f>
        <v>-5.979444700814629E-2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 t="shared" ref="B48:C49" si="21">B38</f>
        <v>28766.259299999998</v>
      </c>
      <c r="C48" s="51">
        <f t="shared" si="21"/>
        <v>29729.66</v>
      </c>
      <c r="D48" s="57"/>
      <c r="E48" s="51">
        <f t="shared" ref="E48:F49" si="22">E38</f>
        <v>89540.3</v>
      </c>
      <c r="F48" s="51">
        <f t="shared" si="22"/>
        <v>100094.31</v>
      </c>
      <c r="G48" s="52"/>
    </row>
    <row r="49" spans="1:7" ht="15.6">
      <c r="A49" s="49" t="s">
        <v>7</v>
      </c>
      <c r="B49" s="51">
        <f t="shared" si="21"/>
        <v>35557.597099999999</v>
      </c>
      <c r="C49" s="51">
        <f t="shared" si="21"/>
        <v>37020.490000000005</v>
      </c>
      <c r="D49" s="52"/>
      <c r="E49" s="51">
        <f t="shared" si="22"/>
        <v>111318.69</v>
      </c>
      <c r="F49" s="51">
        <f t="shared" si="22"/>
        <v>123482.97000000002</v>
      </c>
      <c r="G49" s="52"/>
    </row>
    <row r="50" spans="1:7" ht="15.6">
      <c r="A50" s="49" t="s">
        <v>8</v>
      </c>
      <c r="B50" s="51">
        <f t="shared" ref="B50:C51" si="23">B40+B44</f>
        <v>68795.251997200001</v>
      </c>
      <c r="C50" s="51">
        <f t="shared" si="23"/>
        <v>74369.4120253</v>
      </c>
      <c r="D50" s="52"/>
      <c r="E50" s="51">
        <f t="shared" ref="E50:F51" si="24">E40+E44</f>
        <v>210552.22199719999</v>
      </c>
      <c r="F50" s="51">
        <f t="shared" si="24"/>
        <v>229042.97202530003</v>
      </c>
      <c r="G50" s="52"/>
    </row>
    <row r="51" spans="1:7" ht="15.6">
      <c r="A51" s="49" t="s">
        <v>9</v>
      </c>
      <c r="B51" s="51">
        <f t="shared" si="23"/>
        <v>11656.6036735</v>
      </c>
      <c r="C51" s="51">
        <f t="shared" si="23"/>
        <v>12747.4697318</v>
      </c>
      <c r="D51" s="52"/>
      <c r="E51" s="51">
        <f t="shared" si="24"/>
        <v>34490.733673499999</v>
      </c>
      <c r="F51" s="51">
        <f t="shared" si="24"/>
        <v>37461.389731800009</v>
      </c>
      <c r="G51" s="52" t="s">
        <v>12</v>
      </c>
    </row>
    <row r="52" spans="1:7" ht="15.6">
      <c r="A52" s="18" t="s">
        <v>25</v>
      </c>
      <c r="B52" s="53">
        <f t="shared" ref="B52:F52" si="25">SUM(B48:B51)</f>
        <v>144775.71207070001</v>
      </c>
      <c r="C52" s="53">
        <f>SUM(C48:C51)</f>
        <v>153867.03175709999</v>
      </c>
      <c r="D52" s="19">
        <f>C52/B52-1</f>
        <v>6.2795889976077657E-2</v>
      </c>
      <c r="E52" s="53">
        <f t="shared" ref="E52" si="26">SUM(E48:E51)</f>
        <v>445901.94567069999</v>
      </c>
      <c r="F52" s="53">
        <f t="shared" si="25"/>
        <v>490081.64175710006</v>
      </c>
      <c r="G52" s="19">
        <f>F52/E52-1</f>
        <v>9.9079397422111581E-2</v>
      </c>
    </row>
    <row r="53" spans="1:7">
      <c r="B53" s="58"/>
      <c r="C53" s="58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8E3-BFE0-764C-B22A-5C04DE1D1A48}">
  <dimension ref="A1:H55"/>
  <sheetViews>
    <sheetView zoomScale="125" zoomScaleNormal="80" workbookViewId="0">
      <pane ySplit="3" topLeftCell="A31" activePane="bottomLeft" state="frozen"/>
      <selection pane="bottomLeft" activeCell="H35" sqref="H35"/>
    </sheetView>
  </sheetViews>
  <sheetFormatPr defaultColWidth="8.77734375" defaultRowHeight="14.4" outlineLevelRow="1"/>
  <cols>
    <col min="1" max="1" width="35.6640625" bestFit="1" customWidth="1"/>
    <col min="2" max="3" width="12.44140625" bestFit="1" customWidth="1"/>
    <col min="4" max="4" width="9.33203125" bestFit="1" customWidth="1"/>
    <col min="5" max="5" width="14.44140625" bestFit="1" customWidth="1"/>
    <col min="6" max="6" width="14" bestFit="1" customWidth="1"/>
    <col min="7" max="7" width="9.33203125" bestFit="1" customWidth="1"/>
  </cols>
  <sheetData>
    <row r="1" spans="1:8" ht="15.6">
      <c r="A1" s="165" t="s">
        <v>33</v>
      </c>
      <c r="B1" s="166"/>
      <c r="C1" s="166"/>
      <c r="D1" s="166"/>
      <c r="E1" s="166"/>
      <c r="F1" s="166"/>
      <c r="G1" s="167"/>
    </row>
    <row r="2" spans="1:8" ht="15.6">
      <c r="A2" s="1"/>
      <c r="B2" s="163" t="s">
        <v>0</v>
      </c>
      <c r="C2" s="163"/>
      <c r="D2" s="163"/>
      <c r="E2" s="163"/>
      <c r="F2" s="163"/>
      <c r="G2" s="163"/>
    </row>
    <row r="3" spans="1:8" ht="15.6">
      <c r="A3" s="2" t="s">
        <v>1</v>
      </c>
      <c r="B3" s="3" t="s">
        <v>26</v>
      </c>
      <c r="C3" s="32">
        <v>45474</v>
      </c>
      <c r="D3" s="2" t="s">
        <v>2</v>
      </c>
      <c r="E3" s="2" t="s">
        <v>29</v>
      </c>
      <c r="F3" s="2" t="s">
        <v>31</v>
      </c>
      <c r="G3" s="2" t="s">
        <v>2</v>
      </c>
    </row>
    <row r="4" spans="1:8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0" t="s">
        <v>6</v>
      </c>
      <c r="B6" s="34">
        <v>29773.325700000001</v>
      </c>
      <c r="C6" s="34">
        <v>32386.3</v>
      </c>
      <c r="D6" s="11"/>
      <c r="E6" s="36">
        <v>127636.88</v>
      </c>
      <c r="F6" s="36">
        <v>141268.03</v>
      </c>
      <c r="G6" s="12"/>
      <c r="H6" s="13"/>
    </row>
    <row r="7" spans="1:8" outlineLevel="1">
      <c r="A7" s="10" t="s">
        <v>7</v>
      </c>
      <c r="B7" s="34">
        <v>37622.6783</v>
      </c>
      <c r="C7" s="34">
        <v>40289.39</v>
      </c>
      <c r="D7" s="11"/>
      <c r="E7" s="36">
        <v>159154.57999999999</v>
      </c>
      <c r="F7" s="36">
        <v>174807.81</v>
      </c>
      <c r="G7" s="12"/>
    </row>
    <row r="8" spans="1:8" outlineLevel="1">
      <c r="A8" s="10" t="s">
        <v>8</v>
      </c>
      <c r="B8" s="34">
        <v>44691.374299999996</v>
      </c>
      <c r="C8" s="34">
        <v>49437.29</v>
      </c>
      <c r="D8" s="11"/>
      <c r="E8" s="36">
        <v>179724.84</v>
      </c>
      <c r="F8" s="36">
        <v>206405.6</v>
      </c>
      <c r="G8" s="12"/>
      <c r="H8" s="13"/>
    </row>
    <row r="9" spans="1:8" outlineLevel="1">
      <c r="A9" s="10" t="s">
        <v>9</v>
      </c>
      <c r="B9" s="34">
        <v>10939.0427</v>
      </c>
      <c r="C9" s="34">
        <v>11923.39</v>
      </c>
      <c r="D9" s="11"/>
      <c r="E9" s="36">
        <v>43366.43</v>
      </c>
      <c r="F9" s="36">
        <v>47570.94</v>
      </c>
      <c r="G9" s="12"/>
    </row>
    <row r="10" spans="1:8">
      <c r="A10" s="14" t="s">
        <v>20</v>
      </c>
      <c r="B10" s="35">
        <v>123026.421</v>
      </c>
      <c r="C10" s="35">
        <v>134036.37</v>
      </c>
      <c r="D10" s="9">
        <v>8.9492565905762156E-2</v>
      </c>
      <c r="E10" s="37">
        <v>509882.72999999992</v>
      </c>
      <c r="F10" s="37">
        <v>570052.37999999989</v>
      </c>
      <c r="G10" s="9">
        <v>0.11800684051409238</v>
      </c>
    </row>
    <row r="11" spans="1:8" ht="12.45" customHeight="1" collapsed="1">
      <c r="A11" s="4" t="s">
        <v>14</v>
      </c>
      <c r="B11" s="4"/>
      <c r="C11" s="5"/>
      <c r="D11" s="5"/>
      <c r="E11" s="5"/>
      <c r="F11" s="5"/>
      <c r="G11" s="9"/>
    </row>
    <row r="12" spans="1:8" outlineLevel="1">
      <c r="A12" s="10" t="s">
        <v>8</v>
      </c>
      <c r="B12" s="36">
        <v>41238.68</v>
      </c>
      <c r="C12" s="36">
        <v>47009.381365500005</v>
      </c>
      <c r="D12" s="11"/>
      <c r="E12" s="36">
        <v>157017.9</v>
      </c>
      <c r="F12" s="36">
        <v>164755.50136550001</v>
      </c>
      <c r="G12" s="12"/>
    </row>
    <row r="13" spans="1:8" outlineLevel="1">
      <c r="A13" s="10" t="s">
        <v>9</v>
      </c>
      <c r="B13" s="36">
        <v>840.2</v>
      </c>
      <c r="C13" s="36">
        <v>1029.4991095999999</v>
      </c>
      <c r="D13" s="11"/>
      <c r="E13" s="36">
        <v>3826.3999999999996</v>
      </c>
      <c r="F13" s="36">
        <v>4085.8591096</v>
      </c>
      <c r="G13" s="12"/>
    </row>
    <row r="14" spans="1:8">
      <c r="A14" s="14" t="s">
        <v>21</v>
      </c>
      <c r="B14" s="35">
        <v>42078.879999999997</v>
      </c>
      <c r="C14" s="35">
        <v>48038.880475100006</v>
      </c>
      <c r="D14" s="9">
        <v>0.14163876213197701</v>
      </c>
      <c r="E14" s="35">
        <v>160844.29999999999</v>
      </c>
      <c r="F14" s="35">
        <v>168841.36047509999</v>
      </c>
      <c r="G14" s="23">
        <v>4.9719265619608599E-2</v>
      </c>
    </row>
    <row r="15" spans="1:8">
      <c r="A15" s="4" t="s">
        <v>17</v>
      </c>
      <c r="B15" s="4"/>
      <c r="C15" s="4"/>
      <c r="D15" s="4"/>
      <c r="E15" s="4"/>
      <c r="F15" s="4"/>
      <c r="G15" s="4"/>
    </row>
    <row r="16" spans="1:8" ht="15.6">
      <c r="A16" s="15" t="s">
        <v>6</v>
      </c>
      <c r="B16" s="38">
        <v>29773.325700000001</v>
      </c>
      <c r="C16" s="39">
        <v>32386.3</v>
      </c>
      <c r="D16" s="17"/>
      <c r="E16" s="39">
        <v>127636.88</v>
      </c>
      <c r="F16" s="39">
        <v>141268.03</v>
      </c>
      <c r="G16" s="17"/>
    </row>
    <row r="17" spans="1:8" ht="15.6">
      <c r="A17" s="15" t="s">
        <v>7</v>
      </c>
      <c r="B17" s="38">
        <v>37622.6783</v>
      </c>
      <c r="C17" s="39">
        <v>40289.39</v>
      </c>
      <c r="D17" s="17"/>
      <c r="E17" s="39">
        <v>159154.57999999999</v>
      </c>
      <c r="F17" s="39">
        <v>174807.81</v>
      </c>
      <c r="G17" s="17"/>
    </row>
    <row r="18" spans="1:8" ht="15.6">
      <c r="A18" s="15" t="s">
        <v>8</v>
      </c>
      <c r="B18" s="38">
        <v>85930.054299999989</v>
      </c>
      <c r="C18" s="39">
        <v>96446.671365500006</v>
      </c>
      <c r="D18" s="17"/>
      <c r="E18" s="39">
        <v>336742.74</v>
      </c>
      <c r="F18" s="39">
        <v>371161.10136550001</v>
      </c>
      <c r="G18" s="17"/>
    </row>
    <row r="19" spans="1:8" ht="15.6">
      <c r="A19" s="15" t="s">
        <v>9</v>
      </c>
      <c r="B19" s="38">
        <v>11779.242700000001</v>
      </c>
      <c r="C19" s="39">
        <v>12952.889109599999</v>
      </c>
      <c r="D19" s="17"/>
      <c r="E19" s="39">
        <v>47192.83</v>
      </c>
      <c r="F19" s="39">
        <v>51656.799109600004</v>
      </c>
      <c r="G19" s="17"/>
    </row>
    <row r="20" spans="1:8" ht="15.6">
      <c r="A20" s="18" t="s">
        <v>22</v>
      </c>
      <c r="B20" s="40">
        <v>165105.30099999998</v>
      </c>
      <c r="C20" s="40">
        <v>182075.25047510001</v>
      </c>
      <c r="D20" s="19">
        <v>0.10278259071695461</v>
      </c>
      <c r="E20" s="40">
        <v>670727.02999999991</v>
      </c>
      <c r="F20" s="40">
        <v>738893.7404751</v>
      </c>
      <c r="G20" s="19">
        <v>0.1016310770643909</v>
      </c>
    </row>
    <row r="21" spans="1:8" s="20" customFormat="1" collapsed="1">
      <c r="A21" s="4" t="s">
        <v>15</v>
      </c>
      <c r="B21" s="11"/>
      <c r="C21" s="11"/>
      <c r="D21" s="11"/>
      <c r="E21" s="11"/>
      <c r="F21" s="11"/>
      <c r="G21" s="5"/>
    </row>
    <row r="22" spans="1:8" s="20" customFormat="1" outlineLevel="1">
      <c r="A22" s="10" t="s">
        <v>6</v>
      </c>
      <c r="B22" s="36">
        <v>2881.39</v>
      </c>
      <c r="C22" s="41">
        <v>1972.3300000000002</v>
      </c>
      <c r="D22" s="11"/>
      <c r="E22" s="41">
        <v>11204.649999999998</v>
      </c>
      <c r="F22" s="41">
        <v>10671.689999999999</v>
      </c>
      <c r="G22" s="12"/>
    </row>
    <row r="23" spans="1:8" s="20" customFormat="1" outlineLevel="1">
      <c r="A23" s="10" t="s">
        <v>7</v>
      </c>
      <c r="B23" s="36">
        <v>3586.8500000000004</v>
      </c>
      <c r="C23" s="41">
        <v>2447.6499999999996</v>
      </c>
      <c r="D23" s="11"/>
      <c r="E23" s="41">
        <v>13800.04</v>
      </c>
      <c r="F23" s="41">
        <v>13481.779999999999</v>
      </c>
      <c r="G23" s="12"/>
    </row>
    <row r="24" spans="1:8" s="20" customFormat="1" outlineLevel="1">
      <c r="A24" s="10" t="s">
        <v>8</v>
      </c>
      <c r="B24" s="36">
        <v>5140.45</v>
      </c>
      <c r="C24" s="41">
        <v>3231.09</v>
      </c>
      <c r="D24" s="11"/>
      <c r="E24" s="41">
        <v>20755.82</v>
      </c>
      <c r="F24" s="41">
        <v>16651.46</v>
      </c>
      <c r="G24" s="12"/>
    </row>
    <row r="25" spans="1:8" s="20" customFormat="1" outlineLevel="1">
      <c r="A25" s="10" t="s">
        <v>9</v>
      </c>
      <c r="B25" s="36">
        <v>248.18</v>
      </c>
      <c r="C25" s="41">
        <v>161.43</v>
      </c>
      <c r="D25" s="11"/>
      <c r="E25" s="41">
        <v>739.55</v>
      </c>
      <c r="F25" s="41">
        <v>936.7</v>
      </c>
      <c r="G25" s="12"/>
    </row>
    <row r="26" spans="1:8" s="20" customFormat="1">
      <c r="A26" s="14" t="s">
        <v>10</v>
      </c>
      <c r="B26" s="35">
        <v>11856.869999999999</v>
      </c>
      <c r="C26" s="35">
        <v>7812.5</v>
      </c>
      <c r="D26" s="23">
        <v>-0.34109929517655158</v>
      </c>
      <c r="E26" s="35">
        <v>46500.06</v>
      </c>
      <c r="F26" s="35">
        <v>41741.62999999999</v>
      </c>
      <c r="G26" s="23">
        <v>-0.10233169591609148</v>
      </c>
    </row>
    <row r="27" spans="1:8" s="20" customFormat="1" collapsed="1">
      <c r="A27" s="4" t="s">
        <v>36</v>
      </c>
      <c r="B27" s="11"/>
      <c r="C27" s="11"/>
      <c r="D27" s="5"/>
      <c r="E27" s="5"/>
      <c r="F27" s="4"/>
      <c r="G27" s="5"/>
    </row>
    <row r="28" spans="1:8" s="20" customFormat="1" outlineLevel="1">
      <c r="A28" s="10" t="s">
        <v>8</v>
      </c>
      <c r="B28" s="36">
        <v>8197.3434563999999</v>
      </c>
      <c r="C28" s="36">
        <v>8335.2668448000004</v>
      </c>
      <c r="D28" s="11"/>
      <c r="E28" s="36">
        <v>32842.4234564</v>
      </c>
      <c r="F28" s="36">
        <v>40583.706844800006</v>
      </c>
      <c r="G28" s="12"/>
      <c r="H28" s="21"/>
    </row>
    <row r="29" spans="1:8" s="20" customFormat="1" outlineLevel="1">
      <c r="A29" s="10" t="s">
        <v>9</v>
      </c>
      <c r="B29" s="36">
        <v>154.4776071</v>
      </c>
      <c r="C29" s="36">
        <v>134.77252989999999</v>
      </c>
      <c r="D29" s="11"/>
      <c r="E29" s="36">
        <v>585.95760710000002</v>
      </c>
      <c r="F29" s="36">
        <v>602.02252989999999</v>
      </c>
      <c r="G29" s="12"/>
      <c r="H29" s="21"/>
    </row>
    <row r="30" spans="1:8" s="20" customFormat="1">
      <c r="A30" s="14" t="s">
        <v>11</v>
      </c>
      <c r="B30" s="35">
        <v>8351.8210634999996</v>
      </c>
      <c r="C30" s="35">
        <v>8470.0393746999998</v>
      </c>
      <c r="D30" s="23">
        <v>1.4154794541354709E-2</v>
      </c>
      <c r="E30" s="35">
        <v>33428.381063499997</v>
      </c>
      <c r="F30" s="35">
        <v>41185.729374700008</v>
      </c>
      <c r="G30" s="23">
        <v>0.23205874961351802</v>
      </c>
      <c r="H30" s="21"/>
    </row>
    <row r="31" spans="1:8" s="20" customFormat="1">
      <c r="A31" s="4" t="s">
        <v>18</v>
      </c>
      <c r="B31" s="4"/>
      <c r="C31" s="4"/>
      <c r="D31" s="4"/>
      <c r="E31" s="4"/>
      <c r="F31" s="4"/>
      <c r="G31" s="4"/>
      <c r="H31" s="21"/>
    </row>
    <row r="32" spans="1:8" s="20" customFormat="1">
      <c r="A32" s="25" t="s">
        <v>6</v>
      </c>
      <c r="B32" s="42">
        <v>2881.39</v>
      </c>
      <c r="C32" s="42">
        <v>1972.3300000000002</v>
      </c>
      <c r="D32" s="29"/>
      <c r="E32" s="42">
        <v>11204.649999999998</v>
      </c>
      <c r="F32" s="42">
        <v>10671.689999999999</v>
      </c>
      <c r="G32" s="24"/>
      <c r="H32" s="21"/>
    </row>
    <row r="33" spans="1:8" s="20" customFormat="1">
      <c r="A33" s="26" t="s">
        <v>7</v>
      </c>
      <c r="B33" s="42">
        <v>3586.8500000000004</v>
      </c>
      <c r="C33" s="42">
        <v>2447.6499999999996</v>
      </c>
      <c r="D33" s="29"/>
      <c r="E33" s="42">
        <v>13800.04</v>
      </c>
      <c r="F33" s="42">
        <v>13481.779999999999</v>
      </c>
      <c r="G33" s="24"/>
      <c r="H33" s="21"/>
    </row>
    <row r="34" spans="1:8" s="20" customFormat="1">
      <c r="A34" s="26" t="s">
        <v>8</v>
      </c>
      <c r="B34" s="42">
        <v>13337.793456399999</v>
      </c>
      <c r="C34" s="42">
        <v>11566.356844800001</v>
      </c>
      <c r="D34" s="29"/>
      <c r="E34" s="42">
        <v>53598.2434564</v>
      </c>
      <c r="F34" s="42">
        <v>57235.166844800005</v>
      </c>
      <c r="G34" s="24"/>
      <c r="H34" s="21"/>
    </row>
    <row r="35" spans="1:8" s="20" customFormat="1">
      <c r="A35" s="26" t="s">
        <v>9</v>
      </c>
      <c r="B35" s="42">
        <v>402.65760710000001</v>
      </c>
      <c r="C35" s="42">
        <v>296.2025299</v>
      </c>
      <c r="D35" s="29"/>
      <c r="E35" s="42">
        <v>1325.5076070999999</v>
      </c>
      <c r="F35" s="42">
        <v>1538.7225299000002</v>
      </c>
      <c r="G35" s="24"/>
      <c r="H35" s="21"/>
    </row>
    <row r="36" spans="1:8" s="20" customFormat="1" ht="15.6">
      <c r="A36" s="30" t="s">
        <v>23</v>
      </c>
      <c r="B36" s="40">
        <v>20208.691063500002</v>
      </c>
      <c r="C36" s="40">
        <v>16282.5393747</v>
      </c>
      <c r="D36" s="31">
        <v>-0.19428035573720237</v>
      </c>
      <c r="E36" s="40">
        <v>79928.441063499995</v>
      </c>
      <c r="F36" s="40">
        <v>82927.359374699998</v>
      </c>
      <c r="G36" s="31">
        <v>3.7520040067057892E-2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42">
        <v>26891.935700000002</v>
      </c>
      <c r="C38" s="42">
        <v>30413.969999999998</v>
      </c>
      <c r="D38" s="28">
        <v>0</v>
      </c>
      <c r="E38" s="42">
        <v>116432.23000000001</v>
      </c>
      <c r="F38" s="42">
        <v>130596.34</v>
      </c>
      <c r="G38" s="29"/>
      <c r="H38" s="21"/>
    </row>
    <row r="39" spans="1:8" s="20" customFormat="1">
      <c r="A39" s="26" t="s">
        <v>7</v>
      </c>
      <c r="B39" s="42">
        <v>34035.828300000001</v>
      </c>
      <c r="C39" s="42">
        <v>37841.74</v>
      </c>
      <c r="D39" s="28">
        <v>0</v>
      </c>
      <c r="E39" s="42">
        <v>145354.53999999998</v>
      </c>
      <c r="F39" s="42">
        <v>161326.03</v>
      </c>
      <c r="G39" s="29"/>
      <c r="H39" s="21"/>
    </row>
    <row r="40" spans="1:8" s="20" customFormat="1">
      <c r="A40" s="26" t="s">
        <v>8</v>
      </c>
      <c r="B40" s="42">
        <v>39550.924299999999</v>
      </c>
      <c r="C40" s="42">
        <v>46206.2</v>
      </c>
      <c r="D40" s="28">
        <v>0</v>
      </c>
      <c r="E40" s="42">
        <v>158969.01999999999</v>
      </c>
      <c r="F40" s="42">
        <v>189754.14</v>
      </c>
      <c r="G40" s="29"/>
      <c r="H40" s="21"/>
    </row>
    <row r="41" spans="1:8" s="20" customFormat="1">
      <c r="A41" s="26" t="s">
        <v>9</v>
      </c>
      <c r="B41" s="42">
        <v>10690.8627</v>
      </c>
      <c r="C41" s="42">
        <v>11761.96</v>
      </c>
      <c r="D41" s="28">
        <v>0</v>
      </c>
      <c r="E41" s="42">
        <v>42626.879999999997</v>
      </c>
      <c r="F41" s="42">
        <v>46634.240000000005</v>
      </c>
      <c r="G41" s="29"/>
      <c r="H41" s="21"/>
    </row>
    <row r="42" spans="1:8" s="20" customFormat="1">
      <c r="A42" s="27" t="s">
        <v>24</v>
      </c>
      <c r="B42" s="43">
        <v>111169.55100000001</v>
      </c>
      <c r="C42" s="43">
        <v>126223.87</v>
      </c>
      <c r="D42" s="23">
        <v>0.13541765708325704</v>
      </c>
      <c r="E42" s="43">
        <v>463382.67</v>
      </c>
      <c r="F42" s="43">
        <v>528310.75</v>
      </c>
      <c r="G42" s="23">
        <v>0.14011762675544182</v>
      </c>
      <c r="H42" s="21"/>
    </row>
    <row r="43" spans="1:8" s="20" customFormat="1">
      <c r="A43" s="4" t="s">
        <v>37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42">
        <v>33041.336543600002</v>
      </c>
      <c r="C44" s="42">
        <v>38674.114520700008</v>
      </c>
      <c r="D44" s="28">
        <v>0</v>
      </c>
      <c r="E44" s="42">
        <v>124175.4765436</v>
      </c>
      <c r="F44" s="42">
        <v>124171.7945207</v>
      </c>
      <c r="G44" s="29"/>
      <c r="H44" s="21"/>
    </row>
    <row r="45" spans="1:8" s="20" customFormat="1">
      <c r="A45" s="26" t="s">
        <v>9</v>
      </c>
      <c r="B45" s="42">
        <v>685.72239290000005</v>
      </c>
      <c r="C45" s="42">
        <v>894.72657969999989</v>
      </c>
      <c r="D45" s="28">
        <v>0</v>
      </c>
      <c r="E45" s="42">
        <v>3240.4423928999995</v>
      </c>
      <c r="F45" s="42">
        <v>3483.8365797000001</v>
      </c>
      <c r="G45" s="29"/>
      <c r="H45" s="21"/>
    </row>
    <row r="46" spans="1:8" s="20" customFormat="1">
      <c r="A46" s="27" t="s">
        <v>38</v>
      </c>
      <c r="B46" s="43">
        <v>33727.058936500005</v>
      </c>
      <c r="C46" s="43">
        <v>39568.841100400008</v>
      </c>
      <c r="D46" s="23">
        <v>0.17320757718301749</v>
      </c>
      <c r="E46" s="43">
        <v>127415.91893650001</v>
      </c>
      <c r="F46" s="43">
        <v>127655.6311004</v>
      </c>
      <c r="G46" s="23">
        <v>1.8813360677440993E-3</v>
      </c>
      <c r="H46" s="21"/>
    </row>
    <row r="47" spans="1:8">
      <c r="A47" s="4" t="s">
        <v>16</v>
      </c>
      <c r="B47" s="4"/>
      <c r="C47" s="4"/>
      <c r="D47" s="4"/>
      <c r="E47" s="4"/>
      <c r="F47" s="4"/>
      <c r="G47" s="4"/>
    </row>
    <row r="48" spans="1:8" ht="15.6">
      <c r="A48" s="15" t="s">
        <v>6</v>
      </c>
      <c r="B48" s="39">
        <v>26891.935700000002</v>
      </c>
      <c r="C48" s="39">
        <v>30413.969999999998</v>
      </c>
      <c r="D48" s="16"/>
      <c r="E48" s="39">
        <v>116432.23000000001</v>
      </c>
      <c r="F48" s="39">
        <v>130596.34</v>
      </c>
      <c r="G48" s="17"/>
    </row>
    <row r="49" spans="1:7" ht="15.6">
      <c r="A49" s="15" t="s">
        <v>7</v>
      </c>
      <c r="B49" s="39">
        <v>34035.828300000001</v>
      </c>
      <c r="C49" s="39">
        <v>37841.74</v>
      </c>
      <c r="D49" s="17"/>
      <c r="E49" s="39">
        <v>145354.53999999998</v>
      </c>
      <c r="F49" s="39">
        <v>161326.03</v>
      </c>
      <c r="G49" s="17"/>
    </row>
    <row r="50" spans="1:7" ht="15.6">
      <c r="A50" s="15" t="s">
        <v>8</v>
      </c>
      <c r="B50" s="39">
        <v>72592.260843600001</v>
      </c>
      <c r="C50" s="39">
        <v>84880.314520700005</v>
      </c>
      <c r="D50" s="17"/>
      <c r="E50" s="39">
        <v>283144.49654359999</v>
      </c>
      <c r="F50" s="39">
        <v>313925.93452070002</v>
      </c>
      <c r="G50" s="17"/>
    </row>
    <row r="51" spans="1:7" ht="15.6">
      <c r="A51" s="15" t="s">
        <v>9</v>
      </c>
      <c r="B51" s="39">
        <v>11376.585092899999</v>
      </c>
      <c r="C51" s="39">
        <v>12656.686579699999</v>
      </c>
      <c r="D51" s="17"/>
      <c r="E51" s="39">
        <v>45867.322392899994</v>
      </c>
      <c r="F51" s="39">
        <v>50118.076579700006</v>
      </c>
      <c r="G51" s="17" t="s">
        <v>12</v>
      </c>
    </row>
    <row r="52" spans="1:7" ht="15.6">
      <c r="A52" s="18" t="s">
        <v>25</v>
      </c>
      <c r="B52" s="40">
        <v>144896.6099365</v>
      </c>
      <c r="C52" s="40">
        <v>165792.71110039999</v>
      </c>
      <c r="D52" s="19">
        <v>0.14421387993322576</v>
      </c>
      <c r="E52" s="40">
        <v>590798.58893650002</v>
      </c>
      <c r="F52" s="40">
        <v>655966.3811004</v>
      </c>
      <c r="G52" s="19">
        <v>0.11030458329497517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8496-32C7-442C-A5A3-3E6A73C8F486}">
  <dimension ref="A1:I56"/>
  <sheetViews>
    <sheetView zoomScale="114" zoomScaleNormal="80" workbookViewId="0">
      <pane ySplit="4" topLeftCell="A5" activePane="bottomLeft" state="frozen"/>
      <selection pane="bottomLeft" activeCell="I36" sqref="I36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65" t="s">
        <v>56</v>
      </c>
      <c r="B1" s="166"/>
      <c r="C1" s="166"/>
      <c r="D1" s="166"/>
      <c r="E1" s="166"/>
      <c r="F1" s="166"/>
      <c r="G1" s="167"/>
    </row>
    <row r="2" spans="1:9" ht="15.6">
      <c r="A2" s="1"/>
      <c r="B2" s="163" t="s">
        <v>0</v>
      </c>
      <c r="C2" s="163"/>
      <c r="D2" s="163"/>
      <c r="E2" s="163" t="s">
        <v>57</v>
      </c>
      <c r="F2" s="163"/>
      <c r="G2" s="163"/>
    </row>
    <row r="3" spans="1:9" ht="15.6">
      <c r="A3" s="2" t="s">
        <v>1</v>
      </c>
      <c r="B3" s="3" t="s">
        <v>58</v>
      </c>
      <c r="C3" s="3" t="s">
        <v>59</v>
      </c>
      <c r="D3" s="2" t="s">
        <v>2</v>
      </c>
      <c r="E3" s="3" t="s">
        <v>58</v>
      </c>
      <c r="F3" s="3" t="s">
        <v>59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28328.348399999999</v>
      </c>
      <c r="C6" s="34">
        <v>30862.06</v>
      </c>
      <c r="D6" s="11"/>
      <c r="E6" s="36">
        <v>155965.23000000001</v>
      </c>
      <c r="F6" s="36">
        <v>172130.09</v>
      </c>
      <c r="G6" s="12"/>
      <c r="H6" s="13"/>
      <c r="I6" s="22"/>
    </row>
    <row r="7" spans="1:9" outlineLevel="1">
      <c r="A7" s="10" t="s">
        <v>7</v>
      </c>
      <c r="B7" s="34">
        <v>35794.046399999999</v>
      </c>
      <c r="C7" s="34">
        <v>38410.85</v>
      </c>
      <c r="D7" s="11"/>
      <c r="E7" s="36">
        <v>194948.63</v>
      </c>
      <c r="F7" s="36">
        <v>213218.66</v>
      </c>
      <c r="G7" s="12"/>
      <c r="I7" s="22"/>
    </row>
    <row r="8" spans="1:9" outlineLevel="1">
      <c r="A8" s="10" t="s">
        <v>8</v>
      </c>
      <c r="B8" s="34">
        <v>39701.050000000003</v>
      </c>
      <c r="C8" s="34">
        <v>44592.97</v>
      </c>
      <c r="D8" s="11"/>
      <c r="E8" s="36">
        <v>219425.89</v>
      </c>
      <c r="F8" s="36">
        <v>250998.58</v>
      </c>
      <c r="G8" s="12"/>
      <c r="H8" s="13"/>
      <c r="I8" s="22"/>
    </row>
    <row r="9" spans="1:9" outlineLevel="1">
      <c r="A9" s="10" t="s">
        <v>9</v>
      </c>
      <c r="B9" s="34">
        <v>10679.2477</v>
      </c>
      <c r="C9" s="34">
        <v>11119.66</v>
      </c>
      <c r="D9" s="11"/>
      <c r="E9" s="36">
        <v>54045.68</v>
      </c>
      <c r="F9" s="36">
        <v>58690.6</v>
      </c>
      <c r="G9" s="12"/>
      <c r="I9" s="22"/>
    </row>
    <row r="10" spans="1:9">
      <c r="A10" s="14" t="s">
        <v>20</v>
      </c>
      <c r="B10" s="35">
        <v>114502.6925</v>
      </c>
      <c r="C10" s="35">
        <v>124985.54000000001</v>
      </c>
      <c r="D10" s="61">
        <v>9.1551100424996479E-2</v>
      </c>
      <c r="E10" s="37">
        <v>624385.43000000005</v>
      </c>
      <c r="F10" s="37">
        <v>695037.92999999993</v>
      </c>
      <c r="G10" s="61">
        <v>0.11315526693183697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43550.37</v>
      </c>
      <c r="C12" s="36">
        <v>49027.8316844</v>
      </c>
      <c r="D12" s="11"/>
      <c r="E12" s="36">
        <v>200568.27</v>
      </c>
      <c r="F12" s="36">
        <v>213783.33168440001</v>
      </c>
      <c r="G12" s="12"/>
      <c r="I12" s="22"/>
    </row>
    <row r="13" spans="1:9" outlineLevel="1">
      <c r="A13" s="10" t="s">
        <v>9</v>
      </c>
      <c r="B13" s="36">
        <v>1015.84</v>
      </c>
      <c r="C13" s="36">
        <v>948.26974680000001</v>
      </c>
      <c r="D13" s="11"/>
      <c r="E13" s="36">
        <v>4842.24</v>
      </c>
      <c r="F13" s="36">
        <v>5034.1197468</v>
      </c>
      <c r="G13" s="12"/>
    </row>
    <row r="14" spans="1:9">
      <c r="A14" s="14" t="s">
        <v>21</v>
      </c>
      <c r="B14" s="35">
        <v>44566.21</v>
      </c>
      <c r="C14" s="35">
        <v>49976.101431199997</v>
      </c>
      <c r="D14" s="61">
        <v>0.1213899820334734</v>
      </c>
      <c r="E14" s="35">
        <v>205410.50999999998</v>
      </c>
      <c r="F14" s="35">
        <v>218817.4514312</v>
      </c>
      <c r="G14" s="63">
        <v>6.5269013894177164E-2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28328.348399999999</v>
      </c>
      <c r="C16" s="65">
        <v>30862.06</v>
      </c>
      <c r="D16" s="52"/>
      <c r="E16" s="65">
        <v>155965.23000000001</v>
      </c>
      <c r="F16" s="65">
        <v>172130.09</v>
      </c>
      <c r="G16" s="52"/>
      <c r="I16" s="22"/>
    </row>
    <row r="17" spans="1:9" ht="15.6">
      <c r="A17" s="49" t="s">
        <v>7</v>
      </c>
      <c r="B17" s="64">
        <v>35794.046399999999</v>
      </c>
      <c r="C17" s="65">
        <v>38410.85</v>
      </c>
      <c r="D17" s="52"/>
      <c r="E17" s="65">
        <v>194948.63</v>
      </c>
      <c r="F17" s="65">
        <v>213218.66</v>
      </c>
      <c r="G17" s="52"/>
    </row>
    <row r="18" spans="1:9" ht="15.6">
      <c r="A18" s="49" t="s">
        <v>8</v>
      </c>
      <c r="B18" s="64">
        <v>83251.420000000013</v>
      </c>
      <c r="C18" s="65">
        <v>93620.801684400009</v>
      </c>
      <c r="D18" s="52"/>
      <c r="E18" s="65">
        <v>419994.16000000003</v>
      </c>
      <c r="F18" s="65">
        <v>464781.91168439999</v>
      </c>
      <c r="G18" s="52"/>
    </row>
    <row r="19" spans="1:9" ht="15.6">
      <c r="A19" s="49" t="s">
        <v>9</v>
      </c>
      <c r="B19" s="64">
        <v>11695.0877</v>
      </c>
      <c r="C19" s="65">
        <v>12067.9297468</v>
      </c>
      <c r="D19" s="52"/>
      <c r="E19" s="65">
        <v>58887.92</v>
      </c>
      <c r="F19" s="65">
        <v>63724.719746800001</v>
      </c>
      <c r="G19" s="52"/>
    </row>
    <row r="20" spans="1:9" ht="15.6">
      <c r="A20" s="18" t="s">
        <v>22</v>
      </c>
      <c r="B20" s="40">
        <v>159068.9025</v>
      </c>
      <c r="C20" s="40">
        <v>174961.64143120003</v>
      </c>
      <c r="D20" s="66">
        <v>9.991103654719713E-2</v>
      </c>
      <c r="E20" s="40">
        <v>829795.94000000006</v>
      </c>
      <c r="F20" s="40">
        <v>913855.38143119996</v>
      </c>
      <c r="G20" s="66">
        <v>0.101301340943172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2338.88</v>
      </c>
      <c r="C22" s="41">
        <v>3617.89</v>
      </c>
      <c r="D22" s="68"/>
      <c r="E22" s="41">
        <v>13543.51</v>
      </c>
      <c r="F22" s="41">
        <v>14287.37</v>
      </c>
      <c r="G22" s="12"/>
      <c r="I22"/>
    </row>
    <row r="23" spans="1:9" s="20" customFormat="1" outlineLevel="1">
      <c r="A23" s="10" t="s">
        <v>7</v>
      </c>
      <c r="B23" s="67">
        <v>2881.3</v>
      </c>
      <c r="C23" s="41">
        <v>4404.97</v>
      </c>
      <c r="D23" s="68"/>
      <c r="E23" s="41">
        <v>16681.349999999999</v>
      </c>
      <c r="F23" s="41">
        <v>17884.379999999997</v>
      </c>
      <c r="G23" s="12"/>
      <c r="I23"/>
    </row>
    <row r="24" spans="1:9" s="20" customFormat="1" outlineLevel="1">
      <c r="A24" s="10" t="s">
        <v>8</v>
      </c>
      <c r="B24" s="67">
        <v>3593.3</v>
      </c>
      <c r="C24" s="41">
        <v>5826.34</v>
      </c>
      <c r="D24" s="68"/>
      <c r="E24" s="41">
        <v>24349.14</v>
      </c>
      <c r="F24" s="41">
        <v>22475.059999999998</v>
      </c>
      <c r="G24" s="12"/>
      <c r="I24" s="54"/>
    </row>
    <row r="25" spans="1:9" s="20" customFormat="1" outlineLevel="1">
      <c r="A25" s="10" t="s">
        <v>9</v>
      </c>
      <c r="B25" s="67">
        <v>147.49</v>
      </c>
      <c r="C25" s="41">
        <v>448.81</v>
      </c>
      <c r="D25" s="68"/>
      <c r="E25" s="41">
        <v>887.04</v>
      </c>
      <c r="F25" s="41">
        <v>1385.52</v>
      </c>
      <c r="G25" s="12"/>
      <c r="I25" s="54"/>
    </row>
    <row r="26" spans="1:9" s="20" customFormat="1">
      <c r="A26" s="14" t="s">
        <v>10</v>
      </c>
      <c r="B26" s="69">
        <v>8960.9699999999993</v>
      </c>
      <c r="C26" s="35">
        <v>14298.01</v>
      </c>
      <c r="D26" s="63">
        <v>0.59558730807044347</v>
      </c>
      <c r="E26" s="35">
        <v>55461.04</v>
      </c>
      <c r="F26" s="35">
        <v>56032.329999999994</v>
      </c>
      <c r="G26" s="63">
        <v>1.0300744450518762E-2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8622.5134445000003</v>
      </c>
      <c r="C28" s="36">
        <v>10074.307795799999</v>
      </c>
      <c r="D28" s="11"/>
      <c r="E28" s="36">
        <v>41464.933444499999</v>
      </c>
      <c r="F28" s="36">
        <v>50658.017795800006</v>
      </c>
      <c r="G28" s="12"/>
      <c r="H28" s="21"/>
      <c r="I28" s="54"/>
    </row>
    <row r="29" spans="1:9" s="20" customFormat="1" outlineLevel="1">
      <c r="A29" s="10" t="s">
        <v>9</v>
      </c>
      <c r="B29" s="36">
        <v>139.56010119999999</v>
      </c>
      <c r="C29" s="36">
        <v>87.882028500000004</v>
      </c>
      <c r="D29" s="11"/>
      <c r="E29" s="36">
        <v>725.5201012</v>
      </c>
      <c r="F29" s="36">
        <v>689.90202850000003</v>
      </c>
      <c r="G29" s="12"/>
      <c r="H29" s="21"/>
      <c r="I29" s="54"/>
    </row>
    <row r="30" spans="1:9" s="20" customFormat="1">
      <c r="A30" s="14" t="s">
        <v>60</v>
      </c>
      <c r="B30" s="35">
        <v>8762.073545700001</v>
      </c>
      <c r="C30" s="35">
        <v>10162.1898243</v>
      </c>
      <c r="D30" s="63">
        <v>0.15979280147529784</v>
      </c>
      <c r="E30" s="35">
        <v>42190.453545700002</v>
      </c>
      <c r="F30" s="35">
        <v>51347.919824300006</v>
      </c>
      <c r="G30" s="63">
        <v>0.21705067163311687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2338.88</v>
      </c>
      <c r="C32" s="42">
        <v>3617.89</v>
      </c>
      <c r="D32" s="29"/>
      <c r="E32" s="42">
        <v>13543.51</v>
      </c>
      <c r="F32" s="42">
        <v>14287.37</v>
      </c>
      <c r="G32" s="24"/>
      <c r="H32" s="21"/>
      <c r="I32"/>
    </row>
    <row r="33" spans="1:9" s="20" customFormat="1">
      <c r="A33" s="26" t="s">
        <v>7</v>
      </c>
      <c r="B33" s="42">
        <v>2881.3</v>
      </c>
      <c r="C33" s="42">
        <v>4404.97</v>
      </c>
      <c r="D33" s="29"/>
      <c r="E33" s="42">
        <v>16681.349999999999</v>
      </c>
      <c r="F33" s="42">
        <v>17884.379999999997</v>
      </c>
      <c r="G33" s="24"/>
      <c r="H33" s="21"/>
      <c r="I33"/>
    </row>
    <row r="34" spans="1:9" s="20" customFormat="1">
      <c r="A34" s="26" t="s">
        <v>8</v>
      </c>
      <c r="B34" s="42">
        <v>12215.8134445</v>
      </c>
      <c r="C34" s="42">
        <v>15900.6477958</v>
      </c>
      <c r="D34" s="29"/>
      <c r="E34" s="42">
        <v>65814.073444499998</v>
      </c>
      <c r="F34" s="42">
        <v>73133.077795799996</v>
      </c>
      <c r="G34" s="24"/>
      <c r="H34" s="21"/>
      <c r="I34"/>
    </row>
    <row r="35" spans="1:9" s="20" customFormat="1">
      <c r="A35" s="26" t="s">
        <v>9</v>
      </c>
      <c r="B35" s="42">
        <v>287.05010119999997</v>
      </c>
      <c r="C35" s="42">
        <v>536.69202849999999</v>
      </c>
      <c r="D35" s="29"/>
      <c r="E35" s="42">
        <v>1612.5601012</v>
      </c>
      <c r="F35" s="42">
        <v>2075.4220285000001</v>
      </c>
      <c r="G35" s="24"/>
      <c r="H35" s="21"/>
      <c r="I35"/>
    </row>
    <row r="36" spans="1:9" s="20" customFormat="1" ht="15.6">
      <c r="A36" s="30" t="s">
        <v>23</v>
      </c>
      <c r="B36" s="40">
        <v>17723.043545699999</v>
      </c>
      <c r="C36" s="40">
        <v>24460.199824300002</v>
      </c>
      <c r="D36" s="70">
        <v>0.38013540175691696</v>
      </c>
      <c r="E36" s="40">
        <v>97651.493545699996</v>
      </c>
      <c r="F36" s="40">
        <v>107380.2498243</v>
      </c>
      <c r="G36" s="70">
        <v>9.9627316750122485E-2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25989.468399999998</v>
      </c>
      <c r="C38" s="42">
        <v>27244.170000000002</v>
      </c>
      <c r="D38" s="28"/>
      <c r="E38" s="42">
        <v>142421.72</v>
      </c>
      <c r="F38" s="42">
        <v>157842.72</v>
      </c>
      <c r="G38" s="29"/>
      <c r="H38" s="21"/>
      <c r="I38"/>
    </row>
    <row r="39" spans="1:9" s="20" customFormat="1">
      <c r="A39" s="26" t="s">
        <v>7</v>
      </c>
      <c r="B39" s="42">
        <v>32912.746399999996</v>
      </c>
      <c r="C39" s="42">
        <v>34005.879999999997</v>
      </c>
      <c r="D39" s="28"/>
      <c r="E39" s="42">
        <v>178267.28</v>
      </c>
      <c r="F39" s="42">
        <v>195334.28</v>
      </c>
      <c r="G39" s="29"/>
      <c r="H39" s="21"/>
      <c r="I39"/>
    </row>
    <row r="40" spans="1:9" s="20" customFormat="1">
      <c r="A40" s="26" t="s">
        <v>8</v>
      </c>
      <c r="B40" s="42">
        <v>36107.75</v>
      </c>
      <c r="C40" s="42">
        <v>38766.630000000005</v>
      </c>
      <c r="D40" s="28"/>
      <c r="E40" s="42">
        <v>195076.75</v>
      </c>
      <c r="F40" s="42">
        <v>228523.51999999999</v>
      </c>
      <c r="G40" s="29"/>
      <c r="H40" s="21"/>
      <c r="I40"/>
    </row>
    <row r="41" spans="1:9" s="20" customFormat="1">
      <c r="A41" s="26" t="s">
        <v>9</v>
      </c>
      <c r="B41" s="42">
        <v>10531.7577</v>
      </c>
      <c r="C41" s="42">
        <v>10670.85</v>
      </c>
      <c r="D41" s="28"/>
      <c r="E41" s="42">
        <v>53158.64</v>
      </c>
      <c r="F41" s="42">
        <v>57305.08</v>
      </c>
      <c r="G41" s="29"/>
      <c r="H41" s="21"/>
      <c r="I41"/>
    </row>
    <row r="42" spans="1:9" s="20" customFormat="1">
      <c r="A42" s="27" t="s">
        <v>24</v>
      </c>
      <c r="B42" s="43">
        <v>105541.72249999999</v>
      </c>
      <c r="C42" s="43">
        <v>110687.53000000001</v>
      </c>
      <c r="D42" s="63">
        <v>4.8756144755928377E-2</v>
      </c>
      <c r="E42" s="43">
        <v>568924.39</v>
      </c>
      <c r="F42" s="43">
        <v>639005.6</v>
      </c>
      <c r="G42" s="63">
        <v>0.12318193987077963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34927.856555500002</v>
      </c>
      <c r="C44" s="42">
        <v>38953.523888600001</v>
      </c>
      <c r="D44" s="28"/>
      <c r="E44" s="42">
        <v>159103.33655549999</v>
      </c>
      <c r="F44" s="42">
        <v>163125.31388860001</v>
      </c>
      <c r="G44" s="29"/>
      <c r="H44" s="21"/>
      <c r="I44"/>
    </row>
    <row r="45" spans="1:9" s="20" customFormat="1">
      <c r="A45" s="26" t="s">
        <v>9</v>
      </c>
      <c r="B45" s="42">
        <v>876.27989880000007</v>
      </c>
      <c r="C45" s="42">
        <v>860.38771829999996</v>
      </c>
      <c r="D45" s="28"/>
      <c r="E45" s="42">
        <v>4116.7198988</v>
      </c>
      <c r="F45" s="42">
        <v>4344.2177183000003</v>
      </c>
      <c r="G45" s="29"/>
      <c r="H45" s="21"/>
      <c r="I45"/>
    </row>
    <row r="46" spans="1:9" s="20" customFormat="1">
      <c r="A46" s="27" t="s">
        <v>55</v>
      </c>
      <c r="B46" s="43">
        <v>35804.136454300002</v>
      </c>
      <c r="C46" s="43">
        <v>39813.911606900001</v>
      </c>
      <c r="D46" s="63">
        <v>0.11199195259793604</v>
      </c>
      <c r="E46" s="43">
        <v>163220.05645429998</v>
      </c>
      <c r="F46" s="43">
        <v>167469.53160690001</v>
      </c>
      <c r="G46" s="63">
        <v>2.6035251089316036E-2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25989.468399999998</v>
      </c>
      <c r="C48" s="65">
        <v>27244.170000000002</v>
      </c>
      <c r="D48" s="57"/>
      <c r="E48" s="65">
        <v>142421.72</v>
      </c>
      <c r="F48" s="65">
        <v>157842.72</v>
      </c>
      <c r="G48" s="52"/>
    </row>
    <row r="49" spans="1:7" ht="15.6">
      <c r="A49" s="49" t="s">
        <v>7</v>
      </c>
      <c r="B49" s="65">
        <v>32912.746399999996</v>
      </c>
      <c r="C49" s="65">
        <v>34005.879999999997</v>
      </c>
      <c r="D49" s="52"/>
      <c r="E49" s="65">
        <v>178267.28</v>
      </c>
      <c r="F49" s="65">
        <v>195334.28</v>
      </c>
      <c r="G49" s="52"/>
    </row>
    <row r="50" spans="1:7" ht="15.6">
      <c r="A50" s="49" t="s">
        <v>8</v>
      </c>
      <c r="B50" s="65">
        <v>71035.60655550001</v>
      </c>
      <c r="C50" s="65">
        <v>77720.153888600005</v>
      </c>
      <c r="D50" s="52"/>
      <c r="E50" s="65">
        <v>354180.08655549999</v>
      </c>
      <c r="F50" s="65">
        <v>391648.8338886</v>
      </c>
      <c r="G50" s="52"/>
    </row>
    <row r="51" spans="1:7" ht="15.6">
      <c r="A51" s="49" t="s">
        <v>9</v>
      </c>
      <c r="B51" s="65">
        <v>11408.0375988</v>
      </c>
      <c r="C51" s="65">
        <v>11531.237718300001</v>
      </c>
      <c r="D51" s="52"/>
      <c r="E51" s="65">
        <v>57275.359898800001</v>
      </c>
      <c r="F51" s="65">
        <v>61649.297718300004</v>
      </c>
      <c r="G51" s="52" t="s">
        <v>12</v>
      </c>
    </row>
    <row r="52" spans="1:7" ht="15.6">
      <c r="A52" s="18" t="s">
        <v>25</v>
      </c>
      <c r="B52" s="40">
        <v>141345.8589543</v>
      </c>
      <c r="C52" s="40">
        <v>150501.44160689999</v>
      </c>
      <c r="D52" s="66">
        <v>6.4774325334569394E-2</v>
      </c>
      <c r="E52" s="40">
        <v>732144.44645430008</v>
      </c>
      <c r="F52" s="40">
        <v>806475.13160690002</v>
      </c>
      <c r="G52" s="66">
        <v>0.10152461787093481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1E6C-6B37-47EA-B1B7-26232F6053CF}">
  <dimension ref="A1:I56"/>
  <sheetViews>
    <sheetView zoomScale="85" zoomScaleNormal="85" workbookViewId="0">
      <pane ySplit="4" topLeftCell="A5" activePane="bottomLeft" state="frozen"/>
      <selection pane="bottomLeft" activeCell="I13" sqref="I13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65" t="s">
        <v>61</v>
      </c>
      <c r="B1" s="166"/>
      <c r="C1" s="166"/>
      <c r="D1" s="166"/>
      <c r="E1" s="166"/>
      <c r="F1" s="166"/>
      <c r="G1" s="167"/>
    </row>
    <row r="2" spans="1:9" ht="15.6">
      <c r="A2" s="1"/>
      <c r="B2" s="163" t="s">
        <v>0</v>
      </c>
      <c r="C2" s="163"/>
      <c r="D2" s="163"/>
      <c r="E2" s="163" t="s">
        <v>57</v>
      </c>
      <c r="F2" s="163"/>
      <c r="G2" s="163"/>
    </row>
    <row r="3" spans="1:9" ht="15.6">
      <c r="A3" s="2" t="s">
        <v>1</v>
      </c>
      <c r="B3" s="3" t="s">
        <v>62</v>
      </c>
      <c r="C3" s="3" t="s">
        <v>63</v>
      </c>
      <c r="D3" s="2" t="s">
        <v>2</v>
      </c>
      <c r="E3" s="3" t="s">
        <v>62</v>
      </c>
      <c r="F3" s="3" t="s">
        <v>63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29818.479900000002</v>
      </c>
      <c r="C6" s="34">
        <v>31421.52</v>
      </c>
      <c r="D6" s="11"/>
      <c r="E6" s="36">
        <v>185783.71</v>
      </c>
      <c r="F6" s="36">
        <v>203551.61</v>
      </c>
      <c r="G6" s="12"/>
      <c r="H6" s="13"/>
      <c r="I6" s="22"/>
    </row>
    <row r="7" spans="1:9" outlineLevel="1">
      <c r="A7" s="10" t="s">
        <v>7</v>
      </c>
      <c r="B7" s="34">
        <v>37657.192999999999</v>
      </c>
      <c r="C7" s="34">
        <v>39282.949999999997</v>
      </c>
      <c r="D7" s="11"/>
      <c r="E7" s="36">
        <v>232605.82</v>
      </c>
      <c r="F7" s="36">
        <v>252501.61</v>
      </c>
      <c r="G7" s="12"/>
      <c r="I7" s="22"/>
    </row>
    <row r="8" spans="1:9" outlineLevel="1">
      <c r="A8" s="10" t="s">
        <v>8</v>
      </c>
      <c r="B8" s="34">
        <v>42477.340100000001</v>
      </c>
      <c r="C8" s="34">
        <v>46086.73</v>
      </c>
      <c r="D8" s="11"/>
      <c r="E8" s="36">
        <v>261903.23</v>
      </c>
      <c r="F8" s="36">
        <v>297085.31</v>
      </c>
      <c r="G8" s="12"/>
      <c r="H8" s="13"/>
      <c r="I8" s="22"/>
    </row>
    <row r="9" spans="1:9" outlineLevel="1">
      <c r="A9" s="10" t="s">
        <v>9</v>
      </c>
      <c r="B9" s="34">
        <v>10732.796200000001</v>
      </c>
      <c r="C9" s="34">
        <v>11058.65</v>
      </c>
      <c r="D9" s="11"/>
      <c r="E9" s="36">
        <v>64778.48</v>
      </c>
      <c r="F9" s="36">
        <v>69749.25</v>
      </c>
      <c r="G9" s="12"/>
      <c r="I9" s="22"/>
    </row>
    <row r="10" spans="1:9">
      <c r="A10" s="14" t="s">
        <v>20</v>
      </c>
      <c r="B10" s="35">
        <v>120685.8092</v>
      </c>
      <c r="C10" s="35">
        <v>127849.85</v>
      </c>
      <c r="D10" s="61">
        <v>5.9361079815431594E-2</v>
      </c>
      <c r="E10" s="37">
        <v>745071.24</v>
      </c>
      <c r="F10" s="37">
        <v>822887.78</v>
      </c>
      <c r="G10" s="61">
        <v>0.10444174438943588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41145.4</v>
      </c>
      <c r="C12" s="36">
        <v>44507.436867799996</v>
      </c>
      <c r="D12" s="11"/>
      <c r="E12" s="36">
        <v>241713.66999999998</v>
      </c>
      <c r="F12" s="36">
        <v>258290.7668678</v>
      </c>
      <c r="G12" s="12"/>
      <c r="I12" s="22"/>
    </row>
    <row r="13" spans="1:9" outlineLevel="1">
      <c r="A13" s="10" t="s">
        <v>9</v>
      </c>
      <c r="B13" s="36">
        <v>880.54</v>
      </c>
      <c r="C13" s="36">
        <v>882.79048720000003</v>
      </c>
      <c r="D13" s="11"/>
      <c r="E13" s="36">
        <v>5722.78</v>
      </c>
      <c r="F13" s="36">
        <v>5916.9104872000007</v>
      </c>
      <c r="G13" s="12"/>
    </row>
    <row r="14" spans="1:9">
      <c r="A14" s="14" t="s">
        <v>21</v>
      </c>
      <c r="B14" s="35">
        <v>42025.94</v>
      </c>
      <c r="C14" s="35">
        <v>45390.227354999995</v>
      </c>
      <c r="D14" s="61">
        <v>8.005263784700567E-2</v>
      </c>
      <c r="E14" s="35">
        <v>247436.44999999998</v>
      </c>
      <c r="F14" s="35">
        <v>264207.67735499999</v>
      </c>
      <c r="G14" s="63">
        <v>6.7779938465007961E-2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29818.479900000002</v>
      </c>
      <c r="C16" s="65">
        <v>31421.52</v>
      </c>
      <c r="D16" s="52"/>
      <c r="E16" s="65">
        <v>185783.71</v>
      </c>
      <c r="F16" s="65">
        <v>203551.61</v>
      </c>
      <c r="G16" s="52"/>
      <c r="I16" s="22"/>
    </row>
    <row r="17" spans="1:9" ht="15.6">
      <c r="A17" s="49" t="s">
        <v>7</v>
      </c>
      <c r="B17" s="64">
        <v>37657.192999999999</v>
      </c>
      <c r="C17" s="65">
        <v>39282.949999999997</v>
      </c>
      <c r="D17" s="52"/>
      <c r="E17" s="65">
        <v>232605.82</v>
      </c>
      <c r="F17" s="65">
        <v>252501.61</v>
      </c>
      <c r="G17" s="52"/>
    </row>
    <row r="18" spans="1:9" ht="15.6">
      <c r="A18" s="49" t="s">
        <v>8</v>
      </c>
      <c r="B18" s="64">
        <v>83622.740099999995</v>
      </c>
      <c r="C18" s="65">
        <v>90594.166867799999</v>
      </c>
      <c r="D18" s="52"/>
      <c r="E18" s="65">
        <v>503616.9</v>
      </c>
      <c r="F18" s="65">
        <v>555376.07686779997</v>
      </c>
      <c r="G18" s="52"/>
    </row>
    <row r="19" spans="1:9" ht="15.6">
      <c r="A19" s="49" t="s">
        <v>9</v>
      </c>
      <c r="B19" s="64">
        <v>11613.336200000002</v>
      </c>
      <c r="C19" s="65">
        <v>11941.4404872</v>
      </c>
      <c r="D19" s="52"/>
      <c r="E19" s="65">
        <v>70501.260000000009</v>
      </c>
      <c r="F19" s="65">
        <v>75666.160487200003</v>
      </c>
      <c r="G19" s="52"/>
    </row>
    <row r="20" spans="1:9" ht="15.6">
      <c r="A20" s="18" t="s">
        <v>22</v>
      </c>
      <c r="B20" s="40">
        <v>162711.74919999999</v>
      </c>
      <c r="C20" s="40">
        <v>173240.07735499999</v>
      </c>
      <c r="D20" s="66">
        <v>6.4705390698582166E-2</v>
      </c>
      <c r="E20" s="40">
        <v>992507.69000000006</v>
      </c>
      <c r="F20" s="40">
        <v>1087095.4573549998</v>
      </c>
      <c r="G20" s="66">
        <v>9.530179796894056E-2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2188.88</v>
      </c>
      <c r="C22" s="41">
        <v>2646.3199999999997</v>
      </c>
      <c r="D22" s="68"/>
      <c r="E22" s="41">
        <v>15732.400000000001</v>
      </c>
      <c r="F22" s="41">
        <v>16903.580000000002</v>
      </c>
      <c r="G22" s="12"/>
      <c r="I22"/>
    </row>
    <row r="23" spans="1:9" s="20" customFormat="1" outlineLevel="1">
      <c r="A23" s="10" t="s">
        <v>7</v>
      </c>
      <c r="B23" s="67">
        <v>2777.3500000000004</v>
      </c>
      <c r="C23" s="41">
        <v>3246.05</v>
      </c>
      <c r="D23" s="68"/>
      <c r="E23" s="41">
        <v>19458.71</v>
      </c>
      <c r="F23" s="41">
        <v>21096.199999999997</v>
      </c>
      <c r="G23" s="12"/>
      <c r="I23"/>
    </row>
    <row r="24" spans="1:9" s="20" customFormat="1" outlineLevel="1">
      <c r="A24" s="10" t="s">
        <v>8</v>
      </c>
      <c r="B24" s="67">
        <v>3499.7599999999998</v>
      </c>
      <c r="C24" s="41">
        <v>4553.3899999999994</v>
      </c>
      <c r="D24" s="68"/>
      <c r="E24" s="41">
        <v>27848.89</v>
      </c>
      <c r="F24" s="41">
        <v>26802.97</v>
      </c>
      <c r="G24" s="12"/>
      <c r="I24" s="54"/>
    </row>
    <row r="25" spans="1:9" s="20" customFormat="1" outlineLevel="1">
      <c r="A25" s="10" t="s">
        <v>9</v>
      </c>
      <c r="B25" s="67">
        <v>126.49000000000001</v>
      </c>
      <c r="C25" s="41">
        <v>238.85000000000002</v>
      </c>
      <c r="D25" s="68"/>
      <c r="E25" s="41">
        <v>1013.52</v>
      </c>
      <c r="F25" s="41">
        <v>1624.3200000000002</v>
      </c>
      <c r="G25" s="12"/>
      <c r="I25" s="54"/>
    </row>
    <row r="26" spans="1:9" s="20" customFormat="1">
      <c r="A26" s="14" t="s">
        <v>10</v>
      </c>
      <c r="B26" s="69">
        <v>8592.48</v>
      </c>
      <c r="C26" s="35">
        <v>10684.609999999999</v>
      </c>
      <c r="D26" s="63">
        <v>0.24348383702958865</v>
      </c>
      <c r="E26" s="35">
        <v>64053.52</v>
      </c>
      <c r="F26" s="35">
        <v>66427.070000000007</v>
      </c>
      <c r="G26" s="63">
        <v>3.7055730895039218E-2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6854.3115369999996</v>
      </c>
      <c r="C28" s="36">
        <v>9579.6404211000008</v>
      </c>
      <c r="D28" s="11"/>
      <c r="E28" s="36">
        <v>48319.241537000002</v>
      </c>
      <c r="F28" s="36">
        <v>60237.660421100009</v>
      </c>
      <c r="G28" s="12"/>
      <c r="H28" s="21"/>
      <c r="I28" s="54"/>
    </row>
    <row r="29" spans="1:9" s="20" customFormat="1" outlineLevel="1">
      <c r="A29" s="10" t="s">
        <v>9</v>
      </c>
      <c r="B29" s="36">
        <v>166.82054719999999</v>
      </c>
      <c r="C29" s="36">
        <v>194.07412930000001</v>
      </c>
      <c r="D29" s="11"/>
      <c r="E29" s="36">
        <v>892.34054719999995</v>
      </c>
      <c r="F29" s="36">
        <v>883.97412929999996</v>
      </c>
      <c r="G29" s="12"/>
      <c r="H29" s="21"/>
      <c r="I29" s="54"/>
    </row>
    <row r="30" spans="1:9" s="20" customFormat="1">
      <c r="A30" s="14" t="s">
        <v>60</v>
      </c>
      <c r="B30" s="35">
        <v>7021.1320841999996</v>
      </c>
      <c r="C30" s="35">
        <v>9773.7145504</v>
      </c>
      <c r="D30" s="63">
        <v>0.3920425414577049</v>
      </c>
      <c r="E30" s="35">
        <v>49211.582084200003</v>
      </c>
      <c r="F30" s="35">
        <v>61121.634550400006</v>
      </c>
      <c r="G30" s="63">
        <v>0.242017264265598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2188.88</v>
      </c>
      <c r="C32" s="42">
        <v>2646.3199999999997</v>
      </c>
      <c r="D32" s="29"/>
      <c r="E32" s="42">
        <v>15732.400000000001</v>
      </c>
      <c r="F32" s="42">
        <v>16903.580000000002</v>
      </c>
      <c r="G32" s="24"/>
      <c r="H32" s="21"/>
      <c r="I32"/>
    </row>
    <row r="33" spans="1:9" s="20" customFormat="1">
      <c r="A33" s="26" t="s">
        <v>7</v>
      </c>
      <c r="B33" s="42">
        <v>2777.3500000000004</v>
      </c>
      <c r="C33" s="42">
        <v>3246.05</v>
      </c>
      <c r="D33" s="29"/>
      <c r="E33" s="42">
        <v>19458.71</v>
      </c>
      <c r="F33" s="42">
        <v>21096.199999999997</v>
      </c>
      <c r="G33" s="24"/>
      <c r="H33" s="21"/>
      <c r="I33"/>
    </row>
    <row r="34" spans="1:9" s="20" customFormat="1">
      <c r="A34" s="26" t="s">
        <v>8</v>
      </c>
      <c r="B34" s="42">
        <v>10354.071537</v>
      </c>
      <c r="C34" s="42">
        <v>14133.0304211</v>
      </c>
      <c r="D34" s="29"/>
      <c r="E34" s="42">
        <v>76168.131537000008</v>
      </c>
      <c r="F34" s="42">
        <v>87040.63042110001</v>
      </c>
      <c r="G34" s="24"/>
      <c r="H34" s="21"/>
      <c r="I34"/>
    </row>
    <row r="35" spans="1:9" s="20" customFormat="1">
      <c r="A35" s="26" t="s">
        <v>9</v>
      </c>
      <c r="B35" s="42">
        <v>293.31054719999997</v>
      </c>
      <c r="C35" s="42">
        <v>432.9241293</v>
      </c>
      <c r="D35" s="29"/>
      <c r="E35" s="42">
        <v>1905.8605471999999</v>
      </c>
      <c r="F35" s="42">
        <v>2508.2941293000003</v>
      </c>
      <c r="G35" s="24"/>
      <c r="H35" s="21"/>
      <c r="I35"/>
    </row>
    <row r="36" spans="1:9" s="20" customFormat="1" ht="15.6">
      <c r="A36" s="30" t="s">
        <v>23</v>
      </c>
      <c r="B36" s="40">
        <v>15613.6120842</v>
      </c>
      <c r="C36" s="40">
        <v>20458.324550400001</v>
      </c>
      <c r="D36" s="70">
        <v>0.31028774380161184</v>
      </c>
      <c r="E36" s="40">
        <v>113265.10208420001</v>
      </c>
      <c r="F36" s="40">
        <v>127548.70455040001</v>
      </c>
      <c r="G36" s="70">
        <v>0.12610770840591057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27629.599900000001</v>
      </c>
      <c r="C38" s="42">
        <v>28775.200000000001</v>
      </c>
      <c r="D38" s="28">
        <v>0</v>
      </c>
      <c r="E38" s="42">
        <v>170051.31</v>
      </c>
      <c r="F38" s="42">
        <v>186648.02999999997</v>
      </c>
      <c r="G38" s="29"/>
      <c r="H38" s="21"/>
      <c r="I38"/>
    </row>
    <row r="39" spans="1:9" s="20" customFormat="1">
      <c r="A39" s="26" t="s">
        <v>7</v>
      </c>
      <c r="B39" s="42">
        <v>34879.843000000001</v>
      </c>
      <c r="C39" s="42">
        <v>36036.899999999994</v>
      </c>
      <c r="D39" s="28">
        <v>0</v>
      </c>
      <c r="E39" s="42">
        <v>213147.11000000002</v>
      </c>
      <c r="F39" s="42">
        <v>231405.40999999997</v>
      </c>
      <c r="G39" s="29"/>
      <c r="H39" s="21"/>
      <c r="I39"/>
    </row>
    <row r="40" spans="1:9" s="20" customFormat="1">
      <c r="A40" s="26" t="s">
        <v>8</v>
      </c>
      <c r="B40" s="42">
        <v>38977.580099999999</v>
      </c>
      <c r="C40" s="42">
        <v>41533.340000000004</v>
      </c>
      <c r="D40" s="28">
        <v>0</v>
      </c>
      <c r="E40" s="42">
        <v>234054.34000000003</v>
      </c>
      <c r="F40" s="42">
        <v>270282.33999999997</v>
      </c>
      <c r="G40" s="29"/>
      <c r="H40" s="21"/>
      <c r="I40"/>
    </row>
    <row r="41" spans="1:9" s="20" customFormat="1">
      <c r="A41" s="26" t="s">
        <v>9</v>
      </c>
      <c r="B41" s="42">
        <v>10606.306200000001</v>
      </c>
      <c r="C41" s="42">
        <v>10819.8</v>
      </c>
      <c r="D41" s="28">
        <v>0</v>
      </c>
      <c r="E41" s="42">
        <v>63764.960000000006</v>
      </c>
      <c r="F41" s="42">
        <v>68124.929999999993</v>
      </c>
      <c r="G41" s="29"/>
      <c r="H41" s="21"/>
      <c r="I41"/>
    </row>
    <row r="42" spans="1:9" s="20" customFormat="1">
      <c r="A42" s="27" t="s">
        <v>24</v>
      </c>
      <c r="B42" s="43">
        <v>112093.32920000001</v>
      </c>
      <c r="C42" s="43">
        <v>117165.24</v>
      </c>
      <c r="D42" s="63">
        <v>4.5247206055882394E-2</v>
      </c>
      <c r="E42" s="43">
        <v>681017.72</v>
      </c>
      <c r="F42" s="43">
        <v>756460.71</v>
      </c>
      <c r="G42" s="63">
        <v>0.11077977530452521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34291.088463</v>
      </c>
      <c r="C44" s="42">
        <v>34927.796446699998</v>
      </c>
      <c r="D44" s="28">
        <v>0</v>
      </c>
      <c r="E44" s="42">
        <v>193394.42846299999</v>
      </c>
      <c r="F44" s="42">
        <v>198053.1064467</v>
      </c>
      <c r="G44" s="29"/>
      <c r="H44" s="21"/>
      <c r="I44"/>
    </row>
    <row r="45" spans="1:9" s="20" customFormat="1">
      <c r="A45" s="26" t="s">
        <v>9</v>
      </c>
      <c r="B45" s="42">
        <v>713.7194528</v>
      </c>
      <c r="C45" s="42">
        <v>688.71635790000005</v>
      </c>
      <c r="D45" s="28">
        <v>0</v>
      </c>
      <c r="E45" s="42">
        <v>4830.4394527999993</v>
      </c>
      <c r="F45" s="42">
        <v>5032.936357900001</v>
      </c>
      <c r="G45" s="29"/>
      <c r="H45" s="21"/>
      <c r="I45"/>
    </row>
    <row r="46" spans="1:9" s="20" customFormat="1">
      <c r="A46" s="27" t="s">
        <v>55</v>
      </c>
      <c r="B46" s="43">
        <v>35004.807915800004</v>
      </c>
      <c r="C46" s="43">
        <v>35616.512804599995</v>
      </c>
      <c r="D46" s="63">
        <v>1.7474882029673733E-2</v>
      </c>
      <c r="E46" s="43">
        <v>198224.86791579999</v>
      </c>
      <c r="F46" s="43">
        <v>203086.0428046</v>
      </c>
      <c r="G46" s="63">
        <v>2.4523537031009068E-2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27629.599900000001</v>
      </c>
      <c r="C48" s="65">
        <v>28775.200000000001</v>
      </c>
      <c r="D48" s="57"/>
      <c r="E48" s="65">
        <v>170051.31</v>
      </c>
      <c r="F48" s="65">
        <v>186648.02999999997</v>
      </c>
      <c r="G48" s="52"/>
    </row>
    <row r="49" spans="1:7" ht="15.6">
      <c r="A49" s="49" t="s">
        <v>7</v>
      </c>
      <c r="B49" s="65">
        <v>34879.843000000001</v>
      </c>
      <c r="C49" s="65">
        <v>36036.899999999994</v>
      </c>
      <c r="D49" s="52"/>
      <c r="E49" s="65">
        <v>213147.11000000002</v>
      </c>
      <c r="F49" s="65">
        <v>231405.40999999997</v>
      </c>
      <c r="G49" s="52"/>
    </row>
    <row r="50" spans="1:7" ht="15.6">
      <c r="A50" s="49" t="s">
        <v>8</v>
      </c>
      <c r="B50" s="65">
        <v>73268.668562999999</v>
      </c>
      <c r="C50" s="65">
        <v>76461.136446699995</v>
      </c>
      <c r="D50" s="52"/>
      <c r="E50" s="65">
        <v>427448.76846300001</v>
      </c>
      <c r="F50" s="65">
        <v>468335.44644669996</v>
      </c>
      <c r="G50" s="52"/>
    </row>
    <row r="51" spans="1:7" ht="15.6">
      <c r="A51" s="49" t="s">
        <v>9</v>
      </c>
      <c r="B51" s="65">
        <v>11320.025652800001</v>
      </c>
      <c r="C51" s="65">
        <v>11508.5163579</v>
      </c>
      <c r="D51" s="52"/>
      <c r="E51" s="65">
        <v>68595.399452800004</v>
      </c>
      <c r="F51" s="65">
        <v>73157.866357899999</v>
      </c>
      <c r="G51" s="52" t="s">
        <v>12</v>
      </c>
    </row>
    <row r="52" spans="1:7" ht="15.6">
      <c r="A52" s="18" t="s">
        <v>25</v>
      </c>
      <c r="B52" s="40">
        <v>147098.1371158</v>
      </c>
      <c r="C52" s="40">
        <v>152781.75280459999</v>
      </c>
      <c r="D52" s="66">
        <v>3.8638251777553867E-2</v>
      </c>
      <c r="E52" s="40">
        <v>879242.58791580016</v>
      </c>
      <c r="F52" s="40">
        <v>959546.75280459994</v>
      </c>
      <c r="G52" s="66">
        <v>9.1333343030114866E-2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E85-C5EA-4230-B4D3-E0E16951B1A7}">
  <sheetPr>
    <pageSetUpPr fitToPage="1"/>
  </sheetPr>
  <dimension ref="A1:J55"/>
  <sheetViews>
    <sheetView zoomScale="85" zoomScaleNormal="85" workbookViewId="0">
      <pane ySplit="4" topLeftCell="A5" activePane="bottomLeft" state="frozen"/>
      <selection pane="bottomLeft" activeCell="A35" sqref="A35"/>
    </sheetView>
  </sheetViews>
  <sheetFormatPr defaultColWidth="8.77734375" defaultRowHeight="14.4" outlineLevelRow="1"/>
  <cols>
    <col min="1" max="1" width="38.88671875" bestFit="1" customWidth="1"/>
    <col min="2" max="3" width="10.44140625" bestFit="1" customWidth="1"/>
    <col min="4" max="4" width="10.33203125" bestFit="1" customWidth="1"/>
    <col min="5" max="6" width="11.5546875" bestFit="1" customWidth="1"/>
    <col min="7" max="7" width="10.33203125" bestFit="1" customWidth="1"/>
    <col min="9" max="9" width="17.6640625" bestFit="1" customWidth="1"/>
    <col min="10" max="10" width="10.109375" bestFit="1" customWidth="1"/>
  </cols>
  <sheetData>
    <row r="1" spans="1:10" ht="15.6">
      <c r="A1" s="165" t="s">
        <v>64</v>
      </c>
      <c r="B1" s="166"/>
      <c r="C1" s="166"/>
      <c r="D1" s="166"/>
      <c r="E1" s="166"/>
      <c r="F1" s="166"/>
      <c r="G1" s="167"/>
    </row>
    <row r="2" spans="1:10" ht="15.6">
      <c r="A2" s="1"/>
      <c r="B2" s="163" t="s">
        <v>0</v>
      </c>
      <c r="C2" s="163"/>
      <c r="D2" s="163"/>
      <c r="E2" s="163" t="s">
        <v>57</v>
      </c>
      <c r="F2" s="163"/>
      <c r="G2" s="163"/>
    </row>
    <row r="3" spans="1:10" ht="15.6">
      <c r="A3" s="2" t="s">
        <v>1</v>
      </c>
      <c r="B3" s="72">
        <v>45200</v>
      </c>
      <c r="C3" s="72">
        <v>45566</v>
      </c>
      <c r="D3" s="2" t="s">
        <v>2</v>
      </c>
      <c r="E3" s="72">
        <v>45200</v>
      </c>
      <c r="F3" s="72">
        <v>45566</v>
      </c>
      <c r="G3" s="2" t="s">
        <v>2</v>
      </c>
    </row>
    <row r="4" spans="1:10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34">
        <v>30061.811099999999</v>
      </c>
      <c r="C6" s="34">
        <v>33821.129999999997</v>
      </c>
      <c r="D6" s="11"/>
      <c r="E6" s="34">
        <v>215845.52</v>
      </c>
      <c r="F6" s="34">
        <v>237372.74</v>
      </c>
      <c r="G6" s="12"/>
      <c r="H6" s="13"/>
      <c r="I6" s="22"/>
    </row>
    <row r="7" spans="1:10" outlineLevel="1">
      <c r="A7" s="10" t="s">
        <v>7</v>
      </c>
      <c r="B7" s="34">
        <v>38171.328300000001</v>
      </c>
      <c r="C7" s="34">
        <v>41863.56</v>
      </c>
      <c r="D7" s="11"/>
      <c r="E7" s="34">
        <v>270777.15000000002</v>
      </c>
      <c r="F7" s="34">
        <v>294365.17</v>
      </c>
      <c r="G7" s="12"/>
      <c r="I7" s="22"/>
    </row>
    <row r="8" spans="1:10" outlineLevel="1">
      <c r="A8" s="10" t="s">
        <v>8</v>
      </c>
      <c r="B8" s="34">
        <v>49187.693500000001</v>
      </c>
      <c r="C8" s="34">
        <v>54878.16</v>
      </c>
      <c r="D8" s="11"/>
      <c r="E8" s="34">
        <v>311090.92</v>
      </c>
      <c r="F8" s="34">
        <v>351963.47</v>
      </c>
      <c r="G8" s="12"/>
      <c r="H8" s="13"/>
      <c r="I8" s="22"/>
    </row>
    <row r="9" spans="1:10" outlineLevel="1">
      <c r="A9" s="10" t="s">
        <v>9</v>
      </c>
      <c r="B9" s="34">
        <v>11161.6031</v>
      </c>
      <c r="C9" s="34">
        <v>11687.82</v>
      </c>
      <c r="D9" s="11"/>
      <c r="E9" s="34">
        <v>75940.08</v>
      </c>
      <c r="F9" s="34">
        <v>81437.070000000007</v>
      </c>
      <c r="G9" s="12"/>
      <c r="I9" s="22"/>
    </row>
    <row r="10" spans="1:10">
      <c r="A10" s="14" t="s">
        <v>20</v>
      </c>
      <c r="B10" s="35">
        <v>128582.43600000002</v>
      </c>
      <c r="C10" s="35">
        <v>142250.67000000001</v>
      </c>
      <c r="D10" s="61">
        <v>0.10629943764478567</v>
      </c>
      <c r="E10" s="73">
        <v>873653.67</v>
      </c>
      <c r="F10" s="73">
        <v>965138.45</v>
      </c>
      <c r="G10" s="61">
        <v>0.10471515560622535</v>
      </c>
      <c r="H10" s="74"/>
      <c r="I10" s="74"/>
    </row>
    <row r="11" spans="1:10" ht="12.45" customHeight="1" collapsed="1">
      <c r="A11" s="4" t="s">
        <v>14</v>
      </c>
      <c r="B11" s="11"/>
      <c r="C11" s="11"/>
      <c r="D11" s="5"/>
      <c r="E11" s="34"/>
      <c r="F11" s="34"/>
      <c r="G11" s="9"/>
      <c r="I11" s="22"/>
    </row>
    <row r="12" spans="1:10" outlineLevel="1">
      <c r="A12" s="10" t="s">
        <v>8</v>
      </c>
      <c r="B12" s="34">
        <v>42126.87</v>
      </c>
      <c r="C12" s="34">
        <v>44233.298748000001</v>
      </c>
      <c r="D12" s="11"/>
      <c r="E12" s="34">
        <v>283840.53999999998</v>
      </c>
      <c r="F12" s="34">
        <v>302524.06874800002</v>
      </c>
      <c r="G12" s="12"/>
      <c r="I12" s="22"/>
      <c r="J12" s="22"/>
    </row>
    <row r="13" spans="1:10" outlineLevel="1">
      <c r="A13" s="10" t="s">
        <v>9</v>
      </c>
      <c r="B13" s="34">
        <v>1294.01</v>
      </c>
      <c r="C13" s="34">
        <v>862.49733130000004</v>
      </c>
      <c r="D13" s="11"/>
      <c r="E13" s="34">
        <v>7016.79</v>
      </c>
      <c r="F13" s="34">
        <v>6779.4073313000008</v>
      </c>
      <c r="G13" s="12"/>
      <c r="J13" s="22"/>
    </row>
    <row r="14" spans="1:10">
      <c r="A14" s="14" t="s">
        <v>21</v>
      </c>
      <c r="B14" s="35">
        <v>43420.880000000005</v>
      </c>
      <c r="C14" s="35">
        <v>45095.796079300002</v>
      </c>
      <c r="D14" s="61">
        <v>3.8573978217392169E-2</v>
      </c>
      <c r="E14" s="35">
        <v>290857.32999999996</v>
      </c>
      <c r="F14" s="35">
        <v>309303.47607930005</v>
      </c>
      <c r="G14" s="63">
        <v>6.3419911333505219E-2</v>
      </c>
      <c r="I14" s="48"/>
      <c r="J14" s="22"/>
    </row>
    <row r="15" spans="1:10">
      <c r="A15" s="4" t="s">
        <v>17</v>
      </c>
      <c r="B15" s="35"/>
      <c r="C15" s="35"/>
      <c r="D15" s="61"/>
      <c r="E15" s="35"/>
      <c r="F15" s="35"/>
      <c r="G15" s="4"/>
    </row>
    <row r="16" spans="1:10" ht="15.6">
      <c r="A16" s="49" t="s">
        <v>6</v>
      </c>
      <c r="B16" s="75">
        <v>30061.811099999999</v>
      </c>
      <c r="C16" s="65">
        <v>33821.129999999997</v>
      </c>
      <c r="D16" s="76"/>
      <c r="E16" s="65">
        <v>215845.52</v>
      </c>
      <c r="F16" s="65">
        <v>237372.74</v>
      </c>
      <c r="G16" s="52"/>
      <c r="I16" s="22"/>
    </row>
    <row r="17" spans="1:10" ht="15.6">
      <c r="A17" s="49" t="s">
        <v>7</v>
      </c>
      <c r="B17" s="75">
        <v>38171.328300000001</v>
      </c>
      <c r="C17" s="65">
        <v>41863.56</v>
      </c>
      <c r="D17" s="76"/>
      <c r="E17" s="65">
        <v>270777.15000000002</v>
      </c>
      <c r="F17" s="65">
        <v>294365.17</v>
      </c>
      <c r="G17" s="52"/>
    </row>
    <row r="18" spans="1:10" ht="15.6">
      <c r="A18" s="49" t="s">
        <v>8</v>
      </c>
      <c r="B18" s="75">
        <v>91314.563500000004</v>
      </c>
      <c r="C18" s="65">
        <v>99111.458748000005</v>
      </c>
      <c r="D18" s="76"/>
      <c r="E18" s="65">
        <v>594931.46</v>
      </c>
      <c r="F18" s="65">
        <v>654487.53874800005</v>
      </c>
      <c r="G18" s="52"/>
    </row>
    <row r="19" spans="1:10" ht="15.6">
      <c r="A19" s="49" t="s">
        <v>9</v>
      </c>
      <c r="B19" s="75">
        <v>12455.6131</v>
      </c>
      <c r="C19" s="65">
        <v>12550.317331300001</v>
      </c>
      <c r="D19" s="76"/>
      <c r="E19" s="65">
        <v>82956.87</v>
      </c>
      <c r="F19" s="65">
        <v>88216.477331300004</v>
      </c>
      <c r="G19" s="52"/>
    </row>
    <row r="20" spans="1:10" ht="15.6">
      <c r="A20" s="18" t="s">
        <v>22</v>
      </c>
      <c r="B20" s="40">
        <v>172003.31599999999</v>
      </c>
      <c r="C20" s="40">
        <v>187346.46607930001</v>
      </c>
      <c r="D20" s="66">
        <v>8.9202679176929811E-2</v>
      </c>
      <c r="E20" s="40">
        <v>1164511</v>
      </c>
      <c r="F20" s="40">
        <v>1274441.9260793</v>
      </c>
      <c r="G20" s="66">
        <v>9.4400934022349281E-2</v>
      </c>
    </row>
    <row r="21" spans="1:10" s="20" customFormat="1" collapsed="1">
      <c r="A21" s="4" t="s">
        <v>15</v>
      </c>
      <c r="B21" s="77"/>
      <c r="C21" s="77"/>
      <c r="D21" s="68"/>
      <c r="E21" s="77"/>
      <c r="F21" s="77"/>
      <c r="G21" s="5"/>
      <c r="I21"/>
    </row>
    <row r="22" spans="1:10" s="20" customFormat="1" outlineLevel="1">
      <c r="A22" s="10" t="s">
        <v>6</v>
      </c>
      <c r="B22" s="77">
        <v>1769.63</v>
      </c>
      <c r="C22" s="59">
        <v>2521.3000000000002</v>
      </c>
      <c r="D22" s="68"/>
      <c r="E22" s="59">
        <v>17502.04</v>
      </c>
      <c r="F22" s="59">
        <v>19422.73</v>
      </c>
      <c r="G22" s="12"/>
    </row>
    <row r="23" spans="1:10" s="20" customFormat="1" outlineLevel="1">
      <c r="A23" s="10" t="s">
        <v>7</v>
      </c>
      <c r="B23" s="77">
        <v>2235.94</v>
      </c>
      <c r="C23" s="59">
        <v>3146.55</v>
      </c>
      <c r="D23" s="68"/>
      <c r="E23" s="59">
        <v>21694.639999999999</v>
      </c>
      <c r="F23" s="59">
        <v>24240.28</v>
      </c>
      <c r="G23" s="12"/>
    </row>
    <row r="24" spans="1:10" s="20" customFormat="1" outlineLevel="1">
      <c r="A24" s="10" t="s">
        <v>8</v>
      </c>
      <c r="B24" s="77">
        <v>3201.12</v>
      </c>
      <c r="C24" s="59">
        <v>4536.3999999999996</v>
      </c>
      <c r="D24" s="68"/>
      <c r="E24" s="59">
        <v>31050</v>
      </c>
      <c r="F24" s="59">
        <v>31338.959999999999</v>
      </c>
      <c r="G24" s="12"/>
    </row>
    <row r="25" spans="1:10" s="20" customFormat="1" outlineLevel="1">
      <c r="A25" s="10" t="s">
        <v>9</v>
      </c>
      <c r="B25" s="77">
        <v>145.16999999999999</v>
      </c>
      <c r="C25" s="59">
        <v>293.33</v>
      </c>
      <c r="D25" s="68"/>
      <c r="E25" s="59">
        <v>1158.69</v>
      </c>
      <c r="F25" s="59">
        <v>1917.6599999999999</v>
      </c>
      <c r="G25" s="12"/>
    </row>
    <row r="26" spans="1:10" s="20" customFormat="1">
      <c r="A26" s="14" t="s">
        <v>10</v>
      </c>
      <c r="B26" s="78">
        <v>7351.8600000000006</v>
      </c>
      <c r="C26" s="35">
        <v>10497.58</v>
      </c>
      <c r="D26" s="63">
        <v>0.42788083559806611</v>
      </c>
      <c r="E26" s="35">
        <v>71405.37</v>
      </c>
      <c r="F26" s="35">
        <v>76919.63</v>
      </c>
      <c r="G26" s="63">
        <v>7.7224724134893563E-2</v>
      </c>
    </row>
    <row r="27" spans="1:10" s="20" customFormat="1" collapsed="1">
      <c r="A27" s="4" t="s">
        <v>65</v>
      </c>
      <c r="B27" s="34"/>
      <c r="C27" s="34"/>
      <c r="D27" s="79"/>
      <c r="E27" s="34"/>
      <c r="F27" s="35"/>
      <c r="G27" s="79"/>
    </row>
    <row r="28" spans="1:10" s="20" customFormat="1" outlineLevel="1">
      <c r="A28" s="10" t="s">
        <v>8</v>
      </c>
      <c r="B28" s="34">
        <v>8816.1586473999996</v>
      </c>
      <c r="C28" s="34">
        <v>8605.7313391999996</v>
      </c>
      <c r="D28" s="79"/>
      <c r="E28" s="34">
        <v>57135.398647399998</v>
      </c>
      <c r="F28" s="34">
        <v>68843.391339199996</v>
      </c>
      <c r="G28" s="80"/>
      <c r="H28" s="21"/>
      <c r="I28" s="54"/>
      <c r="J28" s="81"/>
    </row>
    <row r="29" spans="1:10" s="20" customFormat="1" outlineLevel="1">
      <c r="A29" s="10" t="s">
        <v>9</v>
      </c>
      <c r="B29" s="34">
        <v>167.20210230000001</v>
      </c>
      <c r="C29" s="34">
        <v>202.28111680000001</v>
      </c>
      <c r="D29" s="79"/>
      <c r="E29" s="34">
        <v>1059.5421022999999</v>
      </c>
      <c r="F29" s="34">
        <v>1086.2511168000001</v>
      </c>
      <c r="G29" s="80"/>
      <c r="H29" s="21"/>
      <c r="I29" s="54"/>
      <c r="J29" s="81"/>
    </row>
    <row r="30" spans="1:10" s="20" customFormat="1">
      <c r="A30" s="14" t="s">
        <v>11</v>
      </c>
      <c r="B30" s="35">
        <v>8983.3607496999994</v>
      </c>
      <c r="C30" s="35">
        <v>8808.0124560000004</v>
      </c>
      <c r="D30" s="63">
        <v>-1.951923100782238E-2</v>
      </c>
      <c r="E30" s="35">
        <v>58194.940749699999</v>
      </c>
      <c r="F30" s="35">
        <v>69929.642456000001</v>
      </c>
      <c r="G30" s="63">
        <v>0.20164470579619054</v>
      </c>
      <c r="H30" s="21"/>
      <c r="I30"/>
      <c r="J30" s="81"/>
    </row>
    <row r="31" spans="1:10" s="20" customFormat="1">
      <c r="A31" s="4" t="s">
        <v>18</v>
      </c>
      <c r="B31" s="35"/>
      <c r="C31" s="35"/>
      <c r="D31" s="61"/>
      <c r="E31" s="35"/>
      <c r="F31" s="35"/>
      <c r="G31" s="61"/>
      <c r="H31" s="21"/>
      <c r="I31"/>
    </row>
    <row r="32" spans="1:10" s="20" customFormat="1">
      <c r="A32" s="25" t="s">
        <v>6</v>
      </c>
      <c r="B32" s="42">
        <v>1769.63</v>
      </c>
      <c r="C32" s="42">
        <v>2521.3000000000002</v>
      </c>
      <c r="D32" s="82"/>
      <c r="E32" s="42">
        <v>17502.04</v>
      </c>
      <c r="F32" s="42">
        <v>19422.73</v>
      </c>
      <c r="G32" s="63"/>
      <c r="H32" s="21"/>
      <c r="I32"/>
    </row>
    <row r="33" spans="1:9" s="20" customFormat="1">
      <c r="A33" s="26" t="s">
        <v>7</v>
      </c>
      <c r="B33" s="42">
        <v>2235.94</v>
      </c>
      <c r="C33" s="42">
        <v>3146.55</v>
      </c>
      <c r="D33" s="82"/>
      <c r="E33" s="42">
        <v>21694.639999999999</v>
      </c>
      <c r="F33" s="42">
        <v>24240.28</v>
      </c>
      <c r="G33" s="63"/>
      <c r="H33" s="21"/>
      <c r="I33"/>
    </row>
    <row r="34" spans="1:9" s="20" customFormat="1">
      <c r="A34" s="26" t="s">
        <v>8</v>
      </c>
      <c r="B34" s="42">
        <v>12017.278647399999</v>
      </c>
      <c r="C34" s="42">
        <v>13142.131339199999</v>
      </c>
      <c r="D34" s="82"/>
      <c r="E34" s="42">
        <v>88185.398647399998</v>
      </c>
      <c r="F34" s="42">
        <v>100182.35133919999</v>
      </c>
      <c r="G34" s="63"/>
      <c r="H34" s="21"/>
      <c r="I34"/>
    </row>
    <row r="35" spans="1:9" s="20" customFormat="1">
      <c r="A35" s="26" t="s">
        <v>9</v>
      </c>
      <c r="B35" s="42">
        <v>312.37210229999999</v>
      </c>
      <c r="C35" s="42">
        <v>495.61111679999999</v>
      </c>
      <c r="D35" s="82"/>
      <c r="E35" s="42">
        <v>2218.2321023</v>
      </c>
      <c r="F35" s="42">
        <v>3003.9111167999999</v>
      </c>
      <c r="G35" s="63"/>
      <c r="H35" s="21"/>
      <c r="I35"/>
    </row>
    <row r="36" spans="1:9" s="20" customFormat="1" ht="15.6">
      <c r="A36" s="30" t="s">
        <v>23</v>
      </c>
      <c r="B36" s="40">
        <v>16335.220749699998</v>
      </c>
      <c r="C36" s="40">
        <v>19305.592455999998</v>
      </c>
      <c r="D36" s="70">
        <v>0.1818384796761654</v>
      </c>
      <c r="E36" s="40">
        <v>129600.31074969999</v>
      </c>
      <c r="F36" s="40">
        <v>146849.27245600001</v>
      </c>
      <c r="G36" s="70">
        <v>0.13309352120006346</v>
      </c>
      <c r="H36" s="21"/>
      <c r="I36"/>
    </row>
    <row r="37" spans="1:9" s="20" customFormat="1">
      <c r="A37" s="4" t="s">
        <v>19</v>
      </c>
      <c r="B37" s="35"/>
      <c r="C37" s="35"/>
      <c r="D37" s="4"/>
      <c r="E37" s="35"/>
      <c r="F37" s="35"/>
      <c r="G37" s="4"/>
      <c r="H37" s="21"/>
      <c r="I37"/>
    </row>
    <row r="38" spans="1:9" s="20" customFormat="1">
      <c r="A38" s="25" t="s">
        <v>6</v>
      </c>
      <c r="B38" s="42">
        <v>28292.181099999998</v>
      </c>
      <c r="C38" s="42">
        <v>31299.829999999998</v>
      </c>
      <c r="D38" s="28">
        <v>0</v>
      </c>
      <c r="E38" s="42">
        <v>198343.47999999998</v>
      </c>
      <c r="F38" s="42">
        <v>217950.00999999998</v>
      </c>
      <c r="G38" s="29"/>
      <c r="H38" s="21"/>
      <c r="I38"/>
    </row>
    <row r="39" spans="1:9" s="20" customFormat="1">
      <c r="A39" s="26" t="s">
        <v>7</v>
      </c>
      <c r="B39" s="42">
        <v>35935.388299999999</v>
      </c>
      <c r="C39" s="42">
        <v>38717.009999999995</v>
      </c>
      <c r="D39" s="28">
        <v>0</v>
      </c>
      <c r="E39" s="42">
        <v>249082.51</v>
      </c>
      <c r="F39" s="42">
        <v>270124.89</v>
      </c>
      <c r="G39" s="29"/>
      <c r="H39" s="21"/>
      <c r="I39"/>
    </row>
    <row r="40" spans="1:9" s="20" customFormat="1">
      <c r="A40" s="26" t="s">
        <v>8</v>
      </c>
      <c r="B40" s="42">
        <v>45986.573499999999</v>
      </c>
      <c r="C40" s="42">
        <v>50341.760000000002</v>
      </c>
      <c r="D40" s="28">
        <v>0</v>
      </c>
      <c r="E40" s="42">
        <v>280040.92</v>
      </c>
      <c r="F40" s="42">
        <v>320624.50999999995</v>
      </c>
      <c r="G40" s="29"/>
      <c r="H40" s="21"/>
      <c r="I40"/>
    </row>
    <row r="41" spans="1:9" s="20" customFormat="1">
      <c r="A41" s="26" t="s">
        <v>9</v>
      </c>
      <c r="B41" s="42">
        <v>11016.4331</v>
      </c>
      <c r="C41" s="42">
        <v>11394.49</v>
      </c>
      <c r="D41" s="28">
        <v>0</v>
      </c>
      <c r="E41" s="42">
        <v>74781.39</v>
      </c>
      <c r="F41" s="42">
        <v>79519.41</v>
      </c>
      <c r="G41" s="29"/>
      <c r="H41" s="21"/>
      <c r="I41"/>
    </row>
    <row r="42" spans="1:9" s="20" customFormat="1">
      <c r="A42" s="27" t="s">
        <v>24</v>
      </c>
      <c r="B42" s="43">
        <v>121230.57599999999</v>
      </c>
      <c r="C42" s="43">
        <v>131753.09</v>
      </c>
      <c r="D42" s="63">
        <v>8.6797579191453034E-2</v>
      </c>
      <c r="E42" s="43">
        <v>802248.29999999993</v>
      </c>
      <c r="F42" s="43">
        <v>888218.82</v>
      </c>
      <c r="G42" s="63">
        <v>0.10716198463742455</v>
      </c>
      <c r="H42" s="21"/>
      <c r="I42"/>
    </row>
    <row r="43" spans="1:9" s="20" customFormat="1">
      <c r="A43" s="4" t="s">
        <v>66</v>
      </c>
      <c r="B43" s="35"/>
      <c r="C43" s="35"/>
      <c r="D43" s="4"/>
      <c r="E43" s="35"/>
      <c r="F43" s="35"/>
      <c r="G43" s="61"/>
      <c r="H43" s="21"/>
      <c r="I43"/>
    </row>
    <row r="44" spans="1:9" s="20" customFormat="1">
      <c r="A44" s="26" t="s">
        <v>8</v>
      </c>
      <c r="B44" s="42">
        <v>33310.711352600003</v>
      </c>
      <c r="C44" s="42">
        <v>35627.567408800001</v>
      </c>
      <c r="D44" s="28">
        <v>0</v>
      </c>
      <c r="E44" s="42">
        <v>226705.14135259998</v>
      </c>
      <c r="F44" s="42">
        <v>233680.67740880002</v>
      </c>
      <c r="G44" s="82"/>
      <c r="H44" s="21"/>
      <c r="I44"/>
    </row>
    <row r="45" spans="1:9" s="20" customFormat="1">
      <c r="A45" s="26" t="s">
        <v>9</v>
      </c>
      <c r="B45" s="42">
        <v>1126.8078977</v>
      </c>
      <c r="C45" s="42">
        <v>660.21621449999998</v>
      </c>
      <c r="D45" s="28">
        <v>0</v>
      </c>
      <c r="E45" s="42">
        <v>5957.2478977000001</v>
      </c>
      <c r="F45" s="42">
        <v>5693.1562145000007</v>
      </c>
      <c r="G45" s="82"/>
      <c r="H45" s="21"/>
      <c r="I45"/>
    </row>
    <row r="46" spans="1:9" s="20" customFormat="1">
      <c r="A46" s="27" t="s">
        <v>67</v>
      </c>
      <c r="B46" s="43">
        <v>34437.5192503</v>
      </c>
      <c r="C46" s="43">
        <v>36287.783623299998</v>
      </c>
      <c r="D46" s="63">
        <v>5.3728155026262048E-2</v>
      </c>
      <c r="E46" s="43">
        <v>232662.38925029998</v>
      </c>
      <c r="F46" s="43">
        <v>239373.83362330002</v>
      </c>
      <c r="G46" s="63">
        <v>2.8846279773134365E-2</v>
      </c>
      <c r="H46" s="21"/>
      <c r="I46"/>
    </row>
    <row r="47" spans="1:9">
      <c r="A47" s="4" t="s">
        <v>16</v>
      </c>
      <c r="B47" s="35"/>
      <c r="C47" s="35"/>
      <c r="D47" s="4"/>
      <c r="E47" s="35"/>
      <c r="F47" s="35"/>
      <c r="G47" s="4"/>
    </row>
    <row r="48" spans="1:9" ht="15.6">
      <c r="A48" s="49" t="s">
        <v>6</v>
      </c>
      <c r="B48" s="65">
        <v>28292.181099999998</v>
      </c>
      <c r="C48" s="65">
        <v>31299.829999999998</v>
      </c>
      <c r="D48" s="57"/>
      <c r="E48" s="65">
        <v>198343.47999999998</v>
      </c>
      <c r="F48" s="65">
        <v>217950.00999999998</v>
      </c>
      <c r="G48" s="52"/>
    </row>
    <row r="49" spans="1:7" ht="15.6">
      <c r="A49" s="49" t="s">
        <v>7</v>
      </c>
      <c r="B49" s="65">
        <v>35935.388299999999</v>
      </c>
      <c r="C49" s="65">
        <v>38717.009999999995</v>
      </c>
      <c r="D49" s="52"/>
      <c r="E49" s="65">
        <v>249082.51</v>
      </c>
      <c r="F49" s="65">
        <v>270124.89</v>
      </c>
      <c r="G49" s="52"/>
    </row>
    <row r="50" spans="1:7" ht="15.6">
      <c r="A50" s="49" t="s">
        <v>8</v>
      </c>
      <c r="B50" s="65">
        <v>79297.284852600002</v>
      </c>
      <c r="C50" s="65">
        <v>85969.327408800003</v>
      </c>
      <c r="D50" s="52"/>
      <c r="E50" s="65">
        <v>506746.06135259999</v>
      </c>
      <c r="F50" s="65">
        <v>554305.1874088</v>
      </c>
      <c r="G50" s="52"/>
    </row>
    <row r="51" spans="1:7" ht="15.6">
      <c r="A51" s="49" t="s">
        <v>9</v>
      </c>
      <c r="B51" s="65">
        <v>12143.240997700001</v>
      </c>
      <c r="C51" s="65">
        <v>12054.7062145</v>
      </c>
      <c r="D51" s="52"/>
      <c r="E51" s="65">
        <v>80738.637897699999</v>
      </c>
      <c r="F51" s="65">
        <v>85212.56621450001</v>
      </c>
      <c r="G51" s="52" t="s">
        <v>12</v>
      </c>
    </row>
    <row r="52" spans="1:7" ht="15.6">
      <c r="A52" s="18" t="s">
        <v>25</v>
      </c>
      <c r="B52" s="40">
        <v>155668.09525029999</v>
      </c>
      <c r="C52" s="40">
        <v>168040.87362329999</v>
      </c>
      <c r="D52" s="66">
        <v>7.9481828501830609E-2</v>
      </c>
      <c r="E52" s="40">
        <v>1034910.6892502999</v>
      </c>
      <c r="F52" s="40">
        <v>1127592.6536233001</v>
      </c>
      <c r="G52" s="66">
        <v>8.9555519462399147E-2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64" t="s">
        <v>35</v>
      </c>
      <c r="B55" s="164"/>
      <c r="C55" s="164"/>
      <c r="D55" s="164"/>
      <c r="E55" s="164"/>
      <c r="F55" s="164"/>
      <c r="G55" s="164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922F-FB36-4615-8234-B7F7B72B673E}">
  <sheetPr>
    <pageSetUpPr fitToPage="1"/>
  </sheetPr>
  <dimension ref="A1:K59"/>
  <sheetViews>
    <sheetView zoomScale="85" zoomScaleNormal="85" workbookViewId="0">
      <pane ySplit="3" topLeftCell="A4" activePane="bottomLeft" state="frozen"/>
      <selection pane="bottomLeft" activeCell="D54" sqref="D54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10" max="10" width="10.77734375" bestFit="1" customWidth="1"/>
    <col min="11" max="11" width="17.6640625" bestFit="1" customWidth="1"/>
  </cols>
  <sheetData>
    <row r="1" spans="1:11" ht="15.6">
      <c r="A1" s="165" t="s">
        <v>68</v>
      </c>
      <c r="B1" s="166"/>
      <c r="C1" s="166"/>
      <c r="D1" s="166"/>
      <c r="E1" s="166"/>
      <c r="F1" s="166"/>
      <c r="G1" s="167"/>
    </row>
    <row r="2" spans="1:11" ht="15.6">
      <c r="A2" s="1"/>
      <c r="B2" s="163" t="s">
        <v>0</v>
      </c>
      <c r="C2" s="163"/>
      <c r="D2" s="163"/>
      <c r="E2" s="163" t="s">
        <v>57</v>
      </c>
      <c r="F2" s="163"/>
      <c r="G2" s="163"/>
    </row>
    <row r="3" spans="1:11" ht="15.6">
      <c r="A3" s="2" t="s">
        <v>1</v>
      </c>
      <c r="B3" s="72">
        <v>45231</v>
      </c>
      <c r="C3" s="72">
        <v>45597</v>
      </c>
      <c r="D3" s="2" t="s">
        <v>2</v>
      </c>
      <c r="E3" s="72">
        <v>45231</v>
      </c>
      <c r="F3" s="72">
        <v>45597</v>
      </c>
      <c r="G3" s="2" t="s">
        <v>2</v>
      </c>
    </row>
    <row r="4" spans="1:11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1" collapsed="1">
      <c r="A5" s="4" t="s">
        <v>13</v>
      </c>
      <c r="B5" s="4" t="s">
        <v>4</v>
      </c>
      <c r="C5" s="7" t="s">
        <v>69</v>
      </c>
      <c r="D5" s="6" t="s">
        <v>70</v>
      </c>
      <c r="E5" s="8" t="s">
        <v>71</v>
      </c>
      <c r="F5" s="8" t="s">
        <v>72</v>
      </c>
      <c r="G5" s="9" t="s">
        <v>73</v>
      </c>
      <c r="K5" s="22"/>
    </row>
    <row r="6" spans="1:11" outlineLevel="1">
      <c r="A6" s="10" t="s">
        <v>6</v>
      </c>
      <c r="B6" s="34">
        <v>30419.529500000004</v>
      </c>
      <c r="C6" s="34">
        <v>34140.97</v>
      </c>
      <c r="D6" s="11"/>
      <c r="E6" s="36">
        <v>246265.05</v>
      </c>
      <c r="F6" s="36">
        <v>271513.71000000002</v>
      </c>
      <c r="G6" s="12"/>
      <c r="H6" s="13"/>
      <c r="I6" s="13"/>
      <c r="J6" s="13"/>
      <c r="K6" s="22"/>
    </row>
    <row r="7" spans="1:11" outlineLevel="1">
      <c r="A7" s="10" t="s">
        <v>7</v>
      </c>
      <c r="B7" s="34">
        <v>38225.929199999999</v>
      </c>
      <c r="C7" s="34">
        <v>43046.84</v>
      </c>
      <c r="D7" s="11"/>
      <c r="E7" s="36">
        <v>309003.08</v>
      </c>
      <c r="F7" s="36">
        <v>337412.01</v>
      </c>
      <c r="G7" s="12"/>
      <c r="K7" s="22"/>
    </row>
    <row r="8" spans="1:11" outlineLevel="1">
      <c r="A8" s="10" t="s">
        <v>8</v>
      </c>
      <c r="B8" s="34">
        <v>47810.466099999998</v>
      </c>
      <c r="C8" s="34">
        <v>50092.72</v>
      </c>
      <c r="D8" s="11"/>
      <c r="E8" s="36">
        <v>358901.39</v>
      </c>
      <c r="F8" s="36">
        <v>402056.18</v>
      </c>
      <c r="G8" s="12"/>
      <c r="H8" s="13"/>
      <c r="I8" s="13"/>
      <c r="J8" s="13"/>
      <c r="K8" s="22"/>
    </row>
    <row r="9" spans="1:11" outlineLevel="1">
      <c r="A9" s="10" t="s">
        <v>9</v>
      </c>
      <c r="B9" s="34">
        <v>11238.668900000001</v>
      </c>
      <c r="C9" s="34">
        <v>12397.62</v>
      </c>
      <c r="D9" s="11"/>
      <c r="E9" s="36">
        <v>87178.75</v>
      </c>
      <c r="F9" s="36">
        <v>93834.7</v>
      </c>
      <c r="G9" s="12"/>
      <c r="K9" s="22"/>
    </row>
    <row r="10" spans="1:11" ht="18">
      <c r="A10" s="14" t="s">
        <v>20</v>
      </c>
      <c r="B10" s="35">
        <v>127694.59370000001</v>
      </c>
      <c r="C10" s="35">
        <v>139678.15</v>
      </c>
      <c r="D10" s="61">
        <v>9.3845447585303443E-2</v>
      </c>
      <c r="E10" s="37">
        <v>1001348.27</v>
      </c>
      <c r="F10" s="37">
        <v>1104816.5999999999</v>
      </c>
      <c r="G10" s="61">
        <v>0.10332901458949917</v>
      </c>
      <c r="K10" s="83"/>
    </row>
    <row r="11" spans="1:11" ht="12.45" customHeight="1" collapsed="1">
      <c r="A11" s="4" t="s">
        <v>14</v>
      </c>
      <c r="B11" s="11"/>
      <c r="C11" s="11"/>
      <c r="D11" s="84"/>
      <c r="E11" s="5"/>
      <c r="F11" s="5"/>
      <c r="G11" s="84"/>
      <c r="K11" s="83"/>
    </row>
    <row r="12" spans="1:11" outlineLevel="1">
      <c r="A12" s="10" t="s">
        <v>8</v>
      </c>
      <c r="B12" s="34">
        <v>39198.370000000003</v>
      </c>
      <c r="C12" s="34">
        <v>41735.526430950005</v>
      </c>
      <c r="D12" s="11"/>
      <c r="E12" s="36">
        <v>323038.91006129998</v>
      </c>
      <c r="F12" s="36">
        <v>344259.59643094998</v>
      </c>
      <c r="G12" s="12"/>
      <c r="K12" s="22"/>
    </row>
    <row r="13" spans="1:11" outlineLevel="1">
      <c r="A13" s="10" t="s">
        <v>9</v>
      </c>
      <c r="B13" s="34">
        <v>1035.82</v>
      </c>
      <c r="C13" s="34">
        <v>855.34260119999999</v>
      </c>
      <c r="D13" s="11"/>
      <c r="E13" s="36">
        <v>8052.61</v>
      </c>
      <c r="F13" s="36">
        <v>7634.7526012000008</v>
      </c>
      <c r="G13" s="12"/>
    </row>
    <row r="14" spans="1:11">
      <c r="A14" s="14" t="s">
        <v>21</v>
      </c>
      <c r="B14" s="35">
        <v>40234.19</v>
      </c>
      <c r="C14" s="35">
        <v>42590.869032150003</v>
      </c>
      <c r="D14" s="61">
        <v>5.8574037833479808E-2</v>
      </c>
      <c r="E14" s="35">
        <v>331091.52006129996</v>
      </c>
      <c r="F14" s="35">
        <v>351894.34903215</v>
      </c>
      <c r="G14" s="63">
        <v>6.2831053380643764E-2</v>
      </c>
      <c r="J14" s="22"/>
      <c r="K14" s="48"/>
    </row>
    <row r="15" spans="1:11">
      <c r="A15" s="4" t="s">
        <v>17</v>
      </c>
      <c r="B15" s="4"/>
      <c r="C15" s="4"/>
      <c r="D15" s="84"/>
      <c r="E15" s="4"/>
      <c r="F15" s="4"/>
      <c r="G15" s="84"/>
    </row>
    <row r="16" spans="1:11" ht="15.6">
      <c r="A16" s="49" t="s">
        <v>6</v>
      </c>
      <c r="B16" s="75">
        <v>30419.529500000004</v>
      </c>
      <c r="C16" s="65">
        <v>34140.97</v>
      </c>
      <c r="D16" s="52"/>
      <c r="E16" s="65">
        <v>246265.05</v>
      </c>
      <c r="F16" s="65">
        <v>271513.71000000002</v>
      </c>
      <c r="G16" s="52"/>
      <c r="K16" s="22"/>
    </row>
    <row r="17" spans="1:11" ht="15.6">
      <c r="A17" s="49" t="s">
        <v>7</v>
      </c>
      <c r="B17" s="75">
        <v>38225.929199999999</v>
      </c>
      <c r="C17" s="65">
        <v>43046.84</v>
      </c>
      <c r="D17" s="52"/>
      <c r="E17" s="65">
        <v>309003.08</v>
      </c>
      <c r="F17" s="65">
        <v>337412.01</v>
      </c>
      <c r="G17" s="52"/>
    </row>
    <row r="18" spans="1:11" ht="15.6">
      <c r="A18" s="49" t="s">
        <v>8</v>
      </c>
      <c r="B18" s="75">
        <v>87008.8361</v>
      </c>
      <c r="C18" s="65">
        <v>91828.246430950006</v>
      </c>
      <c r="D18" s="52"/>
      <c r="E18" s="65">
        <v>681940.30006129993</v>
      </c>
      <c r="F18" s="65">
        <v>746315.77643095003</v>
      </c>
      <c r="G18" s="52"/>
    </row>
    <row r="19" spans="1:11" ht="15.6">
      <c r="A19" s="49" t="s">
        <v>9</v>
      </c>
      <c r="B19" s="75">
        <v>12274.4889</v>
      </c>
      <c r="C19" s="65">
        <v>13252.962601200001</v>
      </c>
      <c r="D19" s="52"/>
      <c r="E19" s="65">
        <v>95231.360000000001</v>
      </c>
      <c r="F19" s="65">
        <v>101469.4526012</v>
      </c>
      <c r="G19" s="52"/>
    </row>
    <row r="20" spans="1:11" ht="15.6">
      <c r="A20" s="18" t="s">
        <v>22</v>
      </c>
      <c r="B20" s="40">
        <v>167928.7837</v>
      </c>
      <c r="C20" s="40">
        <v>182269.01903215001</v>
      </c>
      <c r="D20" s="66">
        <v>8.539474263824709E-2</v>
      </c>
      <c r="E20" s="40">
        <v>1332439.7900612999</v>
      </c>
      <c r="F20" s="40">
        <v>1456710.94903215</v>
      </c>
      <c r="G20" s="66">
        <v>9.3265872047496368E-2</v>
      </c>
    </row>
    <row r="21" spans="1:11" s="20" customFormat="1" collapsed="1">
      <c r="A21" s="4" t="s">
        <v>15</v>
      </c>
      <c r="B21" s="68"/>
      <c r="C21" s="68"/>
      <c r="D21" s="84"/>
      <c r="E21" s="68"/>
      <c r="F21" s="68"/>
      <c r="G21" s="84"/>
      <c r="K21"/>
    </row>
    <row r="22" spans="1:11" s="20" customFormat="1" outlineLevel="1">
      <c r="A22" s="10" t="s">
        <v>6</v>
      </c>
      <c r="B22" s="77">
        <v>2952.33</v>
      </c>
      <c r="C22" s="77">
        <v>2325.94</v>
      </c>
      <c r="D22" s="68"/>
      <c r="E22" s="77">
        <v>20454.370000000003</v>
      </c>
      <c r="F22" s="77">
        <v>21743.449999999997</v>
      </c>
      <c r="G22" s="12"/>
      <c r="K22"/>
    </row>
    <row r="23" spans="1:11" s="20" customFormat="1" outlineLevel="1">
      <c r="A23" s="10" t="s">
        <v>7</v>
      </c>
      <c r="B23" s="77">
        <v>3521.52</v>
      </c>
      <c r="C23" s="77">
        <v>3237.85</v>
      </c>
      <c r="D23" s="68"/>
      <c r="E23" s="77">
        <v>25216.16</v>
      </c>
      <c r="F23" s="77">
        <v>27472.699999999997</v>
      </c>
      <c r="G23" s="12"/>
      <c r="K23"/>
    </row>
    <row r="24" spans="1:11" s="20" customFormat="1" outlineLevel="1">
      <c r="A24" s="10" t="s">
        <v>8</v>
      </c>
      <c r="B24" s="77">
        <v>5797.3099999999995</v>
      </c>
      <c r="C24" s="77">
        <v>4373.2</v>
      </c>
      <c r="D24" s="68"/>
      <c r="E24" s="77">
        <v>36847.300000000003</v>
      </c>
      <c r="F24" s="77">
        <v>35709.39</v>
      </c>
      <c r="G24" s="12"/>
      <c r="K24" s="54"/>
    </row>
    <row r="25" spans="1:11" s="20" customFormat="1" outlineLevel="1">
      <c r="A25" s="10" t="s">
        <v>9</v>
      </c>
      <c r="B25" s="77">
        <v>303.58</v>
      </c>
      <c r="C25" s="77">
        <v>174.33</v>
      </c>
      <c r="D25" s="68"/>
      <c r="E25" s="77">
        <v>1462.27</v>
      </c>
      <c r="F25" s="77">
        <v>2091.9900000000002</v>
      </c>
      <c r="G25" s="12"/>
      <c r="K25" s="54"/>
    </row>
    <row r="26" spans="1:11" s="20" customFormat="1">
      <c r="A26" s="14" t="s">
        <v>10</v>
      </c>
      <c r="B26" s="78">
        <v>12574.74</v>
      </c>
      <c r="C26" s="35">
        <v>10111.32</v>
      </c>
      <c r="D26" s="63">
        <v>-0.195902261199834</v>
      </c>
      <c r="E26" s="35">
        <v>83980.1</v>
      </c>
      <c r="F26" s="35">
        <v>87017.53</v>
      </c>
      <c r="G26" s="63">
        <v>3.6168449430281635E-2</v>
      </c>
      <c r="K26" s="21"/>
    </row>
    <row r="27" spans="1:11" s="20" customFormat="1" collapsed="1">
      <c r="A27" s="4" t="s">
        <v>65</v>
      </c>
      <c r="B27" s="11"/>
      <c r="C27" s="11"/>
      <c r="D27" s="84"/>
      <c r="E27" s="5"/>
      <c r="F27" s="4"/>
      <c r="G27" s="84"/>
    </row>
    <row r="28" spans="1:11" s="20" customFormat="1" outlineLevel="1">
      <c r="A28" s="10" t="s">
        <v>8</v>
      </c>
      <c r="B28" s="34">
        <v>8432.0284068000001</v>
      </c>
      <c r="C28" s="34">
        <v>9018.5829217999999</v>
      </c>
      <c r="D28" s="11"/>
      <c r="E28" s="34">
        <v>65567.428406799998</v>
      </c>
      <c r="F28" s="34">
        <v>77861.972921799999</v>
      </c>
      <c r="G28" s="12"/>
      <c r="H28" s="21"/>
      <c r="I28" s="21"/>
      <c r="J28" s="21"/>
    </row>
    <row r="29" spans="1:11" s="20" customFormat="1" outlineLevel="1">
      <c r="A29" s="10" t="s">
        <v>9</v>
      </c>
      <c r="B29" s="34">
        <v>136.16591829999999</v>
      </c>
      <c r="C29" s="34">
        <v>128.78014490000001</v>
      </c>
      <c r="D29" s="11"/>
      <c r="E29" s="34">
        <v>1195.7059182999999</v>
      </c>
      <c r="F29" s="34">
        <v>1215.0301449000001</v>
      </c>
      <c r="G29" s="12"/>
      <c r="H29" s="21"/>
      <c r="I29" s="21"/>
      <c r="J29" s="21"/>
    </row>
    <row r="30" spans="1:11" s="20" customFormat="1">
      <c r="A30" s="14" t="s">
        <v>11</v>
      </c>
      <c r="B30" s="35">
        <v>8568.1943250999993</v>
      </c>
      <c r="C30" s="35">
        <v>9147.3630666999998</v>
      </c>
      <c r="D30" s="63">
        <v>6.7595192128563353E-2</v>
      </c>
      <c r="E30" s="35">
        <v>66763.134325099993</v>
      </c>
      <c r="F30" s="35">
        <v>79077.003066699996</v>
      </c>
      <c r="G30" s="63">
        <v>0.18444114204761841</v>
      </c>
      <c r="H30" s="21"/>
      <c r="I30" s="21"/>
      <c r="J30" s="21"/>
    </row>
    <row r="31" spans="1:11" s="20" customFormat="1">
      <c r="A31" s="4" t="s">
        <v>18</v>
      </c>
      <c r="B31" s="4"/>
      <c r="C31" s="6"/>
      <c r="D31" s="84"/>
      <c r="E31" s="4"/>
      <c r="F31" s="4"/>
      <c r="G31" s="84"/>
      <c r="H31" s="21"/>
      <c r="I31" s="21"/>
      <c r="J31" s="21"/>
    </row>
    <row r="32" spans="1:11" s="20" customFormat="1">
      <c r="A32" s="25" t="s">
        <v>6</v>
      </c>
      <c r="B32" s="42">
        <v>2952.33</v>
      </c>
      <c r="C32" s="42">
        <v>2325.94</v>
      </c>
      <c r="D32" s="29"/>
      <c r="E32" s="42">
        <v>20454.370000000003</v>
      </c>
      <c r="F32" s="42">
        <v>21743.449999999997</v>
      </c>
      <c r="G32" s="24"/>
      <c r="H32" s="21"/>
      <c r="I32" s="21"/>
      <c r="J32" s="21"/>
      <c r="K32"/>
    </row>
    <row r="33" spans="1:11" s="20" customFormat="1">
      <c r="A33" s="26" t="s">
        <v>7</v>
      </c>
      <c r="B33" s="42">
        <v>3521.52</v>
      </c>
      <c r="C33" s="42">
        <v>3237.85</v>
      </c>
      <c r="D33" s="29"/>
      <c r="E33" s="42">
        <v>25216.16</v>
      </c>
      <c r="F33" s="42">
        <v>27472.699999999997</v>
      </c>
      <c r="G33" s="24"/>
      <c r="H33" s="21"/>
      <c r="I33" s="21"/>
      <c r="J33" s="21"/>
      <c r="K33"/>
    </row>
    <row r="34" spans="1:11" s="20" customFormat="1">
      <c r="A34" s="26" t="s">
        <v>8</v>
      </c>
      <c r="B34" s="42">
        <v>14229.3384068</v>
      </c>
      <c r="C34" s="42">
        <v>13391.782921800001</v>
      </c>
      <c r="D34" s="29"/>
      <c r="E34" s="42">
        <v>102414.7284068</v>
      </c>
      <c r="F34" s="42">
        <v>113571.3629218</v>
      </c>
      <c r="G34" s="24"/>
      <c r="H34" s="21"/>
      <c r="I34" s="21"/>
      <c r="J34" s="21"/>
      <c r="K34"/>
    </row>
    <row r="35" spans="1:11" s="20" customFormat="1">
      <c r="A35" s="26" t="s">
        <v>9</v>
      </c>
      <c r="B35" s="42">
        <v>439.74591829999997</v>
      </c>
      <c r="C35" s="42">
        <v>303.11014490000002</v>
      </c>
      <c r="D35" s="29"/>
      <c r="E35" s="42">
        <v>2657.9759182999996</v>
      </c>
      <c r="F35" s="42">
        <v>3307.0201449000006</v>
      </c>
      <c r="G35" s="24"/>
      <c r="H35" s="21"/>
      <c r="I35" s="21"/>
      <c r="J35" s="21"/>
      <c r="K35"/>
    </row>
    <row r="36" spans="1:11" s="20" customFormat="1" ht="15.6">
      <c r="A36" s="30" t="s">
        <v>23</v>
      </c>
      <c r="B36" s="40">
        <v>21142.934325099999</v>
      </c>
      <c r="C36" s="40">
        <v>19258.683066700003</v>
      </c>
      <c r="D36" s="70">
        <v>-8.9119666618984517E-2</v>
      </c>
      <c r="E36" s="40">
        <v>150743.2343251</v>
      </c>
      <c r="F36" s="40">
        <v>166094.53306669998</v>
      </c>
      <c r="G36" s="70">
        <v>0.10183739794578539</v>
      </c>
      <c r="H36" s="21"/>
      <c r="I36" s="21"/>
      <c r="J36" s="21"/>
      <c r="K36"/>
    </row>
    <row r="37" spans="1:11" s="20" customFormat="1">
      <c r="A37" s="4" t="s">
        <v>19</v>
      </c>
      <c r="B37" s="4"/>
      <c r="C37" s="4"/>
      <c r="D37" s="84"/>
      <c r="E37" s="4"/>
      <c r="F37" s="4"/>
      <c r="G37" s="84"/>
      <c r="H37" s="21"/>
      <c r="I37" s="21"/>
      <c r="J37" s="21"/>
      <c r="K37"/>
    </row>
    <row r="38" spans="1:11" s="20" customFormat="1">
      <c r="A38" s="25" t="s">
        <v>6</v>
      </c>
      <c r="B38" s="42">
        <v>27467.199500000002</v>
      </c>
      <c r="C38" s="42">
        <v>31815.030000000002</v>
      </c>
      <c r="D38" s="28">
        <v>0</v>
      </c>
      <c r="E38" s="42">
        <v>225810.68</v>
      </c>
      <c r="F38" s="42">
        <v>249770.26</v>
      </c>
      <c r="G38" s="29"/>
      <c r="H38" s="21"/>
      <c r="I38" s="21"/>
      <c r="J38" s="21"/>
      <c r="K38"/>
    </row>
    <row r="39" spans="1:11" s="20" customFormat="1">
      <c r="A39" s="26" t="s">
        <v>7</v>
      </c>
      <c r="B39" s="42">
        <v>34704.409200000002</v>
      </c>
      <c r="C39" s="42">
        <v>39808.99</v>
      </c>
      <c r="D39" s="28">
        <v>0</v>
      </c>
      <c r="E39" s="42">
        <v>283786.92000000004</v>
      </c>
      <c r="F39" s="42">
        <v>309939.31</v>
      </c>
      <c r="G39" s="29"/>
      <c r="H39" s="21"/>
      <c r="I39" s="21"/>
      <c r="J39" s="21"/>
      <c r="K39"/>
    </row>
    <row r="40" spans="1:11" s="20" customFormat="1">
      <c r="A40" s="26" t="s">
        <v>8</v>
      </c>
      <c r="B40" s="42">
        <v>42013.1561</v>
      </c>
      <c r="C40" s="42">
        <v>45719.520000000004</v>
      </c>
      <c r="D40" s="28">
        <v>0</v>
      </c>
      <c r="E40" s="42">
        <v>322054.09000000003</v>
      </c>
      <c r="F40" s="42">
        <v>366346.79</v>
      </c>
      <c r="G40" s="29"/>
      <c r="H40" s="21"/>
      <c r="I40" s="21"/>
      <c r="J40" s="21"/>
      <c r="K40"/>
    </row>
    <row r="41" spans="1:11" s="20" customFormat="1">
      <c r="A41" s="26" t="s">
        <v>9</v>
      </c>
      <c r="B41" s="42">
        <v>10935.088900000001</v>
      </c>
      <c r="C41" s="42">
        <v>12223.29</v>
      </c>
      <c r="D41" s="28">
        <v>0</v>
      </c>
      <c r="E41" s="42">
        <v>85716.479999999996</v>
      </c>
      <c r="F41" s="42">
        <v>91742.709999999992</v>
      </c>
      <c r="G41" s="29"/>
      <c r="H41" s="21"/>
      <c r="I41" s="21"/>
      <c r="J41" s="21"/>
      <c r="K41"/>
    </row>
    <row r="42" spans="1:11" s="20" customFormat="1">
      <c r="A42" s="27" t="s">
        <v>24</v>
      </c>
      <c r="B42" s="43">
        <v>115119.85370000001</v>
      </c>
      <c r="C42" s="43">
        <v>129566.83000000002</v>
      </c>
      <c r="D42" s="63">
        <v>0.12549508912379737</v>
      </c>
      <c r="E42" s="43">
        <v>917368.17</v>
      </c>
      <c r="F42" s="43">
        <v>1017799.0700000001</v>
      </c>
      <c r="G42" s="63">
        <v>0.10947720150351414</v>
      </c>
      <c r="H42" s="21"/>
      <c r="I42" s="21"/>
      <c r="J42" s="21"/>
      <c r="K42"/>
    </row>
    <row r="43" spans="1:11" s="20" customFormat="1">
      <c r="A43" s="4" t="s">
        <v>66</v>
      </c>
      <c r="B43" s="4"/>
      <c r="C43" s="4"/>
      <c r="D43" s="84"/>
      <c r="E43" s="4"/>
      <c r="F43" s="4"/>
      <c r="G43" s="84"/>
      <c r="H43" s="21"/>
      <c r="I43" s="21"/>
      <c r="J43" s="21"/>
      <c r="K43"/>
    </row>
    <row r="44" spans="1:11" s="20" customFormat="1">
      <c r="A44" s="26" t="s">
        <v>8</v>
      </c>
      <c r="B44" s="42">
        <v>30766.341593200003</v>
      </c>
      <c r="C44" s="42">
        <v>32716.943509150005</v>
      </c>
      <c r="D44" s="28">
        <v>0</v>
      </c>
      <c r="E44" s="42">
        <v>257471.48165449998</v>
      </c>
      <c r="F44" s="42">
        <v>266397.62350915</v>
      </c>
      <c r="G44" s="29"/>
      <c r="H44" s="21"/>
      <c r="I44" s="21"/>
      <c r="J44" s="21"/>
      <c r="K44"/>
    </row>
    <row r="45" spans="1:11" s="20" customFormat="1">
      <c r="A45" s="26" t="s">
        <v>9</v>
      </c>
      <c r="B45" s="42">
        <v>899.65408170000001</v>
      </c>
      <c r="C45" s="42">
        <v>726.56245630000001</v>
      </c>
      <c r="D45" s="28">
        <v>0</v>
      </c>
      <c r="E45" s="42">
        <v>6856.9040816999996</v>
      </c>
      <c r="F45" s="42">
        <v>6419.7224563000009</v>
      </c>
      <c r="G45" s="29"/>
      <c r="H45" s="21"/>
      <c r="I45" s="21"/>
      <c r="J45" s="21"/>
      <c r="K45"/>
    </row>
    <row r="46" spans="1:11" s="20" customFormat="1">
      <c r="A46" s="27" t="s">
        <v>67</v>
      </c>
      <c r="B46" s="43">
        <v>31665.995674900001</v>
      </c>
      <c r="C46" s="43">
        <v>33443.505965450007</v>
      </c>
      <c r="D46" s="63">
        <v>5.6133091283720349E-2</v>
      </c>
      <c r="E46" s="43">
        <v>264328.38573619997</v>
      </c>
      <c r="F46" s="43">
        <v>272817.34596544999</v>
      </c>
      <c r="G46" s="63">
        <v>3.2115204750359228E-2</v>
      </c>
      <c r="H46" s="21"/>
      <c r="I46" s="21"/>
      <c r="J46" s="21"/>
      <c r="K46"/>
    </row>
    <row r="47" spans="1:11">
      <c r="A47" s="4" t="s">
        <v>16</v>
      </c>
      <c r="B47" s="4"/>
      <c r="C47" s="4"/>
      <c r="D47" s="84"/>
      <c r="E47" s="4"/>
      <c r="F47" s="4"/>
      <c r="G47" s="84"/>
    </row>
    <row r="48" spans="1:11" ht="15.6">
      <c r="A48" s="49" t="s">
        <v>6</v>
      </c>
      <c r="B48" s="65">
        <v>27467.199500000002</v>
      </c>
      <c r="C48" s="65">
        <v>31815.030000000002</v>
      </c>
      <c r="D48" s="57"/>
      <c r="E48" s="65">
        <v>225810.68</v>
      </c>
      <c r="F48" s="65">
        <v>249770.26</v>
      </c>
      <c r="G48" s="52"/>
    </row>
    <row r="49" spans="1:7" ht="15.6">
      <c r="A49" s="49" t="s">
        <v>7</v>
      </c>
      <c r="B49" s="65">
        <v>34704.409200000002</v>
      </c>
      <c r="C49" s="65">
        <v>39808.99</v>
      </c>
      <c r="D49" s="52"/>
      <c r="E49" s="65">
        <v>283786.92000000004</v>
      </c>
      <c r="F49" s="65">
        <v>309939.31</v>
      </c>
      <c r="G49" s="52"/>
    </row>
    <row r="50" spans="1:7" ht="15.6">
      <c r="A50" s="49" t="s">
        <v>8</v>
      </c>
      <c r="B50" s="65">
        <v>72779.497693199999</v>
      </c>
      <c r="C50" s="65">
        <v>78436.463509150009</v>
      </c>
      <c r="D50" s="52"/>
      <c r="E50" s="65">
        <v>579525.57165449997</v>
      </c>
      <c r="F50" s="65">
        <v>632744.41350915004</v>
      </c>
      <c r="G50" s="52"/>
    </row>
    <row r="51" spans="1:7" ht="15.6">
      <c r="A51" s="49" t="s">
        <v>9</v>
      </c>
      <c r="B51" s="65">
        <v>11834.742981700001</v>
      </c>
      <c r="C51" s="65">
        <v>12949.852456300001</v>
      </c>
      <c r="D51" s="52"/>
      <c r="E51" s="65">
        <v>92573.384081700002</v>
      </c>
      <c r="F51" s="65">
        <v>98162.432456299997</v>
      </c>
      <c r="G51" s="52" t="s">
        <v>12</v>
      </c>
    </row>
    <row r="52" spans="1:7" ht="15.6">
      <c r="A52" s="18" t="s">
        <v>25</v>
      </c>
      <c r="B52" s="40">
        <v>146785.84937489999</v>
      </c>
      <c r="C52" s="40">
        <v>163010.33596545001</v>
      </c>
      <c r="D52" s="66">
        <v>0.11053167993759461</v>
      </c>
      <c r="E52" s="40">
        <v>1181696.5557362</v>
      </c>
      <c r="F52" s="40">
        <v>1290616.41596545</v>
      </c>
      <c r="G52" s="66">
        <v>9.217244452522988E-2</v>
      </c>
    </row>
    <row r="53" spans="1:7">
      <c r="B53" s="85">
        <f>B42+B46-B52</f>
        <v>0</v>
      </c>
      <c r="C53" s="85">
        <f>C42+C46-C52</f>
        <v>0</v>
      </c>
      <c r="D53" s="84"/>
      <c r="E53" s="85">
        <f t="shared" ref="E53:F53" si="0">E42+E46-E52</f>
        <v>0</v>
      </c>
      <c r="F53" s="85">
        <f t="shared" si="0"/>
        <v>0</v>
      </c>
      <c r="G53" s="84"/>
    </row>
    <row r="54" spans="1:7">
      <c r="B54" s="85">
        <f>B10-B26-B42</f>
        <v>0</v>
      </c>
      <c r="C54" s="85">
        <f>C10-C26-C42</f>
        <v>0</v>
      </c>
      <c r="E54" s="85">
        <f>E10-E26-E42</f>
        <v>0</v>
      </c>
      <c r="F54" s="85">
        <f>F10-F26-F42</f>
        <v>0</v>
      </c>
    </row>
    <row r="55" spans="1:7">
      <c r="B55" s="85">
        <f>B14-B30-B46</f>
        <v>0</v>
      </c>
      <c r="C55" s="85">
        <f>C14-C30-C46</f>
        <v>0</v>
      </c>
      <c r="E55" s="85">
        <f>E14-E30-E46</f>
        <v>0</v>
      </c>
      <c r="F55" s="85">
        <f>F14-F30-F46</f>
        <v>0</v>
      </c>
    </row>
    <row r="57" spans="1:7">
      <c r="B57" s="85">
        <f>B20-B10-B14</f>
        <v>0</v>
      </c>
      <c r="C57" s="85">
        <f>C20-C10-C14</f>
        <v>0</v>
      </c>
      <c r="E57" s="85">
        <f>E20-E10-E14</f>
        <v>0</v>
      </c>
      <c r="F57" s="85">
        <f>F20-F10-F14</f>
        <v>0</v>
      </c>
    </row>
    <row r="59" spans="1:7">
      <c r="B59" s="85">
        <f>B36-B26-B30</f>
        <v>0</v>
      </c>
      <c r="C59" s="85">
        <f>C36-C26-C30</f>
        <v>0</v>
      </c>
      <c r="E59" s="85">
        <f>E36-E26-E30</f>
        <v>0</v>
      </c>
      <c r="F59" s="85">
        <f>F36-F26-F30</f>
        <v>0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F733-E80E-4357-A11E-2B75376474A7}">
  <sheetPr>
    <pageSetUpPr fitToPage="1"/>
  </sheetPr>
  <dimension ref="A1:I53"/>
  <sheetViews>
    <sheetView zoomScale="85" zoomScaleNormal="85" workbookViewId="0">
      <selection activeCell="I33" sqref="I33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9" max="9" width="18.33203125" bestFit="1" customWidth="1"/>
  </cols>
  <sheetData>
    <row r="1" spans="1:9" ht="15.6">
      <c r="A1" s="168" t="s">
        <v>74</v>
      </c>
      <c r="B1" s="166"/>
      <c r="C1" s="166"/>
      <c r="D1" s="166"/>
      <c r="E1" s="166"/>
      <c r="F1" s="166"/>
      <c r="G1" s="167"/>
    </row>
    <row r="2" spans="1:9" ht="15.6">
      <c r="A2" s="1"/>
      <c r="B2" s="163" t="s">
        <v>0</v>
      </c>
      <c r="C2" s="163"/>
      <c r="D2" s="163"/>
      <c r="E2" s="163" t="s">
        <v>57</v>
      </c>
      <c r="F2" s="163"/>
      <c r="G2" s="163"/>
    </row>
    <row r="3" spans="1:9" ht="15.6">
      <c r="A3" s="2" t="s">
        <v>1</v>
      </c>
      <c r="B3" s="72">
        <v>45261</v>
      </c>
      <c r="C3" s="72">
        <v>45627</v>
      </c>
      <c r="D3" s="2" t="s">
        <v>2</v>
      </c>
      <c r="E3" s="72">
        <v>45261</v>
      </c>
      <c r="F3" s="72">
        <v>45627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75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91">
        <v>30443.315500000001</v>
      </c>
      <c r="C6" s="91">
        <v>32836.22</v>
      </c>
      <c r="D6" s="11"/>
      <c r="E6" s="91">
        <v>276708.36</v>
      </c>
      <c r="F6" s="91">
        <v>304349.93</v>
      </c>
      <c r="G6" s="12"/>
      <c r="H6" s="13"/>
    </row>
    <row r="7" spans="1:9" outlineLevel="1">
      <c r="A7" s="10" t="s">
        <v>7</v>
      </c>
      <c r="B7" s="91">
        <v>37935.150500000003</v>
      </c>
      <c r="C7" s="91">
        <v>40498.92</v>
      </c>
      <c r="D7" s="11"/>
      <c r="E7" s="91">
        <v>346938.23</v>
      </c>
      <c r="F7" s="91">
        <v>377910.93</v>
      </c>
      <c r="G7" s="12"/>
    </row>
    <row r="8" spans="1:9" outlineLevel="1">
      <c r="A8" s="10" t="s">
        <v>8</v>
      </c>
      <c r="B8" s="91">
        <v>42721.315000000002</v>
      </c>
      <c r="C8" s="91">
        <v>47782.95</v>
      </c>
      <c r="D8" s="11"/>
      <c r="E8" s="91">
        <v>401622.7</v>
      </c>
      <c r="F8" s="91">
        <v>449839.13</v>
      </c>
      <c r="G8" s="12"/>
      <c r="H8" s="13"/>
    </row>
    <row r="9" spans="1:9" outlineLevel="1">
      <c r="A9" s="10" t="s">
        <v>9</v>
      </c>
      <c r="B9" s="91">
        <v>11169.9429</v>
      </c>
      <c r="C9" s="91">
        <v>11470.8</v>
      </c>
      <c r="D9" s="11"/>
      <c r="E9" s="91">
        <v>98348.69</v>
      </c>
      <c r="F9" s="91">
        <v>105305.49</v>
      </c>
      <c r="G9" s="12"/>
    </row>
    <row r="10" spans="1:9">
      <c r="A10" s="14" t="s">
        <v>20</v>
      </c>
      <c r="B10" s="6">
        <v>122269.7239</v>
      </c>
      <c r="C10" s="6">
        <v>132588.88999999998</v>
      </c>
      <c r="D10" s="9">
        <v>8.4396740017501415E-2</v>
      </c>
      <c r="E10" s="8">
        <v>1123617.98</v>
      </c>
      <c r="F10" s="8">
        <v>1237405.48</v>
      </c>
      <c r="G10" s="9">
        <v>0.10126884940022052</v>
      </c>
    </row>
    <row r="11" spans="1:9" ht="12.45" customHeight="1" collapsed="1">
      <c r="A11" s="4" t="s">
        <v>14</v>
      </c>
      <c r="B11" s="11"/>
      <c r="C11" s="11"/>
      <c r="D11" s="5"/>
      <c r="E11" s="5"/>
      <c r="F11" s="5"/>
      <c r="G11" s="9"/>
    </row>
    <row r="12" spans="1:9" outlineLevel="1">
      <c r="A12" s="10" t="s">
        <v>8</v>
      </c>
      <c r="B12" s="91">
        <v>41533.53</v>
      </c>
      <c r="C12" s="91">
        <v>43437.619071995003</v>
      </c>
      <c r="D12" s="11"/>
      <c r="E12" s="91">
        <v>364572.43999999994</v>
      </c>
      <c r="F12" s="91">
        <v>387697.219071995</v>
      </c>
      <c r="G12" s="12"/>
      <c r="I12" s="48"/>
    </row>
    <row r="13" spans="1:9" outlineLevel="1">
      <c r="A13" s="10" t="s">
        <v>9</v>
      </c>
      <c r="B13" s="91">
        <v>1078.95</v>
      </c>
      <c r="C13" s="91">
        <v>830.03585939999994</v>
      </c>
      <c r="D13" s="11"/>
      <c r="E13" s="91">
        <v>9131.56</v>
      </c>
      <c r="F13" s="91">
        <v>8464.7858594000008</v>
      </c>
      <c r="G13" s="12"/>
      <c r="I13" s="22"/>
    </row>
    <row r="14" spans="1:9">
      <c r="A14" s="14" t="s">
        <v>21</v>
      </c>
      <c r="B14" s="6">
        <v>42612.479999999996</v>
      </c>
      <c r="C14" s="6">
        <v>44267.654931395002</v>
      </c>
      <c r="D14" s="9">
        <v>3.8842492419943753E-2</v>
      </c>
      <c r="E14" s="6">
        <v>373703.99999999994</v>
      </c>
      <c r="F14" s="6">
        <v>396162.004931395</v>
      </c>
      <c r="G14" s="23">
        <v>6.0095703903075837E-2</v>
      </c>
    </row>
    <row r="15" spans="1:9">
      <c r="A15" s="4" t="s">
        <v>17</v>
      </c>
      <c r="B15" s="4"/>
      <c r="C15" s="4"/>
      <c r="D15" s="4"/>
      <c r="E15" s="4"/>
      <c r="F15" s="4"/>
      <c r="G15" s="4"/>
    </row>
    <row r="16" spans="1:9" ht="15.6">
      <c r="A16" s="49" t="s">
        <v>6</v>
      </c>
      <c r="B16" s="86">
        <v>30443.315500000001</v>
      </c>
      <c r="C16" s="57">
        <v>32836.22</v>
      </c>
      <c r="D16" s="52"/>
      <c r="E16" s="57">
        <v>276708.36</v>
      </c>
      <c r="F16" s="57">
        <v>304349.93</v>
      </c>
      <c r="G16" s="52"/>
    </row>
    <row r="17" spans="1:9" ht="15.6">
      <c r="A17" s="49" t="s">
        <v>7</v>
      </c>
      <c r="B17" s="86">
        <v>37935.150500000003</v>
      </c>
      <c r="C17" s="57">
        <v>40498.92</v>
      </c>
      <c r="D17" s="52"/>
      <c r="E17" s="57">
        <v>346938.23</v>
      </c>
      <c r="F17" s="57">
        <v>377910.93</v>
      </c>
      <c r="G17" s="52"/>
    </row>
    <row r="18" spans="1:9" ht="15.6">
      <c r="A18" s="49" t="s">
        <v>8</v>
      </c>
      <c r="B18" s="86">
        <v>84254.845000000001</v>
      </c>
      <c r="C18" s="57">
        <v>91220.569071995007</v>
      </c>
      <c r="D18" s="52"/>
      <c r="E18" s="57">
        <v>766195.1399999999</v>
      </c>
      <c r="F18" s="57">
        <v>837536.34907199501</v>
      </c>
      <c r="G18" s="52"/>
    </row>
    <row r="19" spans="1:9" ht="15.6">
      <c r="A19" s="49" t="s">
        <v>9</v>
      </c>
      <c r="B19" s="86">
        <v>12248.892900000001</v>
      </c>
      <c r="C19" s="57">
        <v>12300.835859399998</v>
      </c>
      <c r="D19" s="52"/>
      <c r="E19" s="57">
        <v>107480.25</v>
      </c>
      <c r="F19" s="57">
        <v>113770.2758594</v>
      </c>
      <c r="G19" s="52"/>
    </row>
    <row r="20" spans="1:9" ht="15.6">
      <c r="A20" s="18" t="s">
        <v>22</v>
      </c>
      <c r="B20" s="87">
        <v>164882.20389999999</v>
      </c>
      <c r="C20" s="87">
        <v>176856.54493139498</v>
      </c>
      <c r="D20" s="19">
        <v>7.2623610966877639E-2</v>
      </c>
      <c r="E20" s="87">
        <v>1497321.98</v>
      </c>
      <c r="F20" s="87">
        <v>1633567.4849313949</v>
      </c>
      <c r="G20" s="19">
        <v>9.0992790295775228E-2</v>
      </c>
    </row>
    <row r="21" spans="1:9" s="20" customFormat="1" collapsed="1">
      <c r="A21" s="4" t="s">
        <v>15</v>
      </c>
      <c r="B21" s="90"/>
      <c r="C21" s="90"/>
      <c r="D21" s="68"/>
      <c r="E21" s="90"/>
      <c r="F21" s="90"/>
      <c r="G21" s="5"/>
    </row>
    <row r="22" spans="1:9" s="20" customFormat="1" outlineLevel="1">
      <c r="A22" s="10" t="s">
        <v>6</v>
      </c>
      <c r="B22" s="91">
        <v>2082.0500000000002</v>
      </c>
      <c r="C22" s="91">
        <v>2906.65</v>
      </c>
      <c r="D22" s="11"/>
      <c r="E22" s="91">
        <v>22536.43</v>
      </c>
      <c r="F22" s="91">
        <v>24649.68</v>
      </c>
      <c r="G22" s="12"/>
    </row>
    <row r="23" spans="1:9" s="20" customFormat="1" outlineLevel="1">
      <c r="A23" s="10" t="s">
        <v>7</v>
      </c>
      <c r="B23" s="91">
        <v>2550.14</v>
      </c>
      <c r="C23" s="91">
        <v>3653.4800000000005</v>
      </c>
      <c r="D23" s="11"/>
      <c r="E23" s="91">
        <v>27766.299999999996</v>
      </c>
      <c r="F23" s="91">
        <v>31125.5</v>
      </c>
      <c r="G23" s="12"/>
    </row>
    <row r="24" spans="1:9" s="20" customFormat="1" outlineLevel="1">
      <c r="A24" s="10" t="s">
        <v>8</v>
      </c>
      <c r="B24" s="91">
        <v>4069.53</v>
      </c>
      <c r="C24" s="91">
        <v>4866.3500000000004</v>
      </c>
      <c r="D24" s="11"/>
      <c r="E24" s="91">
        <v>40916.83</v>
      </c>
      <c r="F24" s="91">
        <v>40575.51</v>
      </c>
      <c r="G24" s="12"/>
    </row>
    <row r="25" spans="1:9" s="20" customFormat="1" outlineLevel="1">
      <c r="A25" s="10" t="s">
        <v>9</v>
      </c>
      <c r="B25" s="91">
        <v>132.29</v>
      </c>
      <c r="C25" s="91">
        <v>143.07999999999998</v>
      </c>
      <c r="D25" s="11"/>
      <c r="E25" s="91">
        <v>1594.57</v>
      </c>
      <c r="F25" s="91">
        <v>2235.0699999999997</v>
      </c>
      <c r="G25" s="12"/>
    </row>
    <row r="26" spans="1:9" s="20" customFormat="1">
      <c r="A26" s="14" t="s">
        <v>10</v>
      </c>
      <c r="B26" s="92">
        <v>8834.010000000002</v>
      </c>
      <c r="C26" s="6">
        <v>11569.560000000001</v>
      </c>
      <c r="D26" s="23">
        <v>0.30966118444511626</v>
      </c>
      <c r="E26" s="6">
        <v>92814.13</v>
      </c>
      <c r="F26" s="6">
        <v>98585.760000000009</v>
      </c>
      <c r="G26" s="23">
        <v>6.2184820350091208E-2</v>
      </c>
      <c r="I26" s="81"/>
    </row>
    <row r="27" spans="1:9" s="20" customFormat="1" collapsed="1">
      <c r="A27" s="4" t="s">
        <v>65</v>
      </c>
      <c r="B27" s="11"/>
      <c r="C27" s="11"/>
      <c r="D27" s="5"/>
      <c r="E27" s="5"/>
      <c r="F27" s="4"/>
      <c r="G27" s="5"/>
    </row>
    <row r="28" spans="1:9" s="20" customFormat="1" outlineLevel="1">
      <c r="A28" s="10" t="s">
        <v>8</v>
      </c>
      <c r="B28" s="91">
        <v>6592</v>
      </c>
      <c r="C28" s="91">
        <v>10766.127942499999</v>
      </c>
      <c r="D28" s="11"/>
      <c r="E28" s="91">
        <v>72159.431122099995</v>
      </c>
      <c r="F28" s="91">
        <v>88628.097942499997</v>
      </c>
      <c r="G28" s="12"/>
      <c r="H28" s="21"/>
    </row>
    <row r="29" spans="1:9" s="20" customFormat="1" outlineLevel="1">
      <c r="A29" s="10" t="s">
        <v>9</v>
      </c>
      <c r="B29" s="91">
        <v>47.32</v>
      </c>
      <c r="C29" s="91">
        <v>154.41207850000001</v>
      </c>
      <c r="D29" s="11"/>
      <c r="E29" s="91">
        <v>1243.0258702000001</v>
      </c>
      <c r="F29" s="91">
        <v>1369.4420785</v>
      </c>
      <c r="G29" s="12"/>
      <c r="H29" s="21"/>
    </row>
    <row r="30" spans="1:9" s="20" customFormat="1">
      <c r="A30" s="14" t="s">
        <v>11</v>
      </c>
      <c r="B30" s="6">
        <v>6639.32</v>
      </c>
      <c r="C30" s="6">
        <v>10920.540020999999</v>
      </c>
      <c r="D30" s="23">
        <v>0.64482883309611205</v>
      </c>
      <c r="E30" s="6">
        <v>73402.456992299994</v>
      </c>
      <c r="F30" s="6">
        <v>89997.540020999993</v>
      </c>
      <c r="G30" s="23">
        <v>0.2260834815167132</v>
      </c>
      <c r="H30" s="21"/>
      <c r="I30" s="81"/>
    </row>
    <row r="31" spans="1:9" s="20" customFormat="1">
      <c r="A31" s="4" t="s">
        <v>18</v>
      </c>
      <c r="B31" s="4"/>
      <c r="C31" s="6"/>
      <c r="D31" s="4"/>
      <c r="E31" s="4"/>
      <c r="F31" s="4"/>
      <c r="G31" s="4"/>
      <c r="H31" s="21"/>
    </row>
    <row r="32" spans="1:9" s="20" customFormat="1">
      <c r="A32" s="25" t="s">
        <v>6</v>
      </c>
      <c r="B32" s="28">
        <v>2082.0500000000002</v>
      </c>
      <c r="C32" s="28">
        <v>2906.65</v>
      </c>
      <c r="D32" s="29"/>
      <c r="E32" s="28">
        <v>22536.43</v>
      </c>
      <c r="F32" s="28">
        <v>24649.68</v>
      </c>
      <c r="G32" s="24"/>
      <c r="H32" s="21"/>
    </row>
    <row r="33" spans="1:8" s="20" customFormat="1">
      <c r="A33" s="26" t="s">
        <v>7</v>
      </c>
      <c r="B33" s="28">
        <v>2550.14</v>
      </c>
      <c r="C33" s="28">
        <v>3653.4800000000005</v>
      </c>
      <c r="D33" s="29"/>
      <c r="E33" s="28">
        <v>27766.299999999996</v>
      </c>
      <c r="F33" s="28">
        <v>31125.5</v>
      </c>
      <c r="G33" s="24"/>
      <c r="H33" s="21"/>
    </row>
    <row r="34" spans="1:8" s="20" customFormat="1">
      <c r="A34" s="26" t="s">
        <v>8</v>
      </c>
      <c r="B34" s="28">
        <v>10661.53</v>
      </c>
      <c r="C34" s="28">
        <v>15632.4779425</v>
      </c>
      <c r="D34" s="29"/>
      <c r="E34" s="28">
        <v>113076.2611221</v>
      </c>
      <c r="F34" s="28">
        <v>129203.60794250001</v>
      </c>
      <c r="G34" s="24"/>
      <c r="H34" s="21"/>
    </row>
    <row r="35" spans="1:8" s="20" customFormat="1">
      <c r="A35" s="26" t="s">
        <v>9</v>
      </c>
      <c r="B35" s="28">
        <v>179.60999999999999</v>
      </c>
      <c r="C35" s="28">
        <v>297.49207849999999</v>
      </c>
      <c r="D35" s="29"/>
      <c r="E35" s="28">
        <v>2837.5958701999998</v>
      </c>
      <c r="F35" s="28">
        <v>3604.5120784999999</v>
      </c>
      <c r="G35" s="24"/>
      <c r="H35" s="21"/>
    </row>
    <row r="36" spans="1:8" s="20" customFormat="1" ht="15.6">
      <c r="A36" s="30" t="s">
        <v>23</v>
      </c>
      <c r="B36" s="87">
        <v>15473.330000000002</v>
      </c>
      <c r="C36" s="87">
        <v>22490.100020999998</v>
      </c>
      <c r="D36" s="31">
        <v>0.45347539234398404</v>
      </c>
      <c r="E36" s="87">
        <v>166216.58699229997</v>
      </c>
      <c r="F36" s="87">
        <v>188583.300021</v>
      </c>
      <c r="G36" s="31">
        <v>0.13456366439371159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28">
        <v>28361.265500000001</v>
      </c>
      <c r="C38" s="28">
        <v>29929.57</v>
      </c>
      <c r="D38" s="28">
        <v>0</v>
      </c>
      <c r="E38" s="28">
        <v>254171.93</v>
      </c>
      <c r="F38" s="28">
        <v>279700.25</v>
      </c>
      <c r="G38" s="29"/>
      <c r="H38" s="21"/>
    </row>
    <row r="39" spans="1:8" s="20" customFormat="1">
      <c r="A39" s="26" t="s">
        <v>7</v>
      </c>
      <c r="B39" s="28">
        <v>35385.010500000004</v>
      </c>
      <c r="C39" s="28">
        <v>36845.439999999995</v>
      </c>
      <c r="D39" s="28">
        <v>0</v>
      </c>
      <c r="E39" s="28">
        <v>319171.93</v>
      </c>
      <c r="F39" s="28">
        <v>346785.43</v>
      </c>
      <c r="G39" s="29"/>
      <c r="H39" s="21"/>
    </row>
    <row r="40" spans="1:8" s="20" customFormat="1">
      <c r="A40" s="26" t="s">
        <v>8</v>
      </c>
      <c r="B40" s="28">
        <v>38651.785000000003</v>
      </c>
      <c r="C40" s="28">
        <v>42916.6</v>
      </c>
      <c r="D40" s="28">
        <v>0</v>
      </c>
      <c r="E40" s="28">
        <v>360705.87</v>
      </c>
      <c r="F40" s="28">
        <v>409263.62</v>
      </c>
      <c r="G40" s="29"/>
      <c r="H40" s="21"/>
    </row>
    <row r="41" spans="1:8" s="20" customFormat="1">
      <c r="A41" s="26" t="s">
        <v>9</v>
      </c>
      <c r="B41" s="28">
        <v>11037.652899999999</v>
      </c>
      <c r="C41" s="28">
        <v>11327.72</v>
      </c>
      <c r="D41" s="28">
        <v>0</v>
      </c>
      <c r="E41" s="28">
        <v>96754.12</v>
      </c>
      <c r="F41" s="28">
        <v>103070.42000000001</v>
      </c>
      <c r="G41" s="29"/>
      <c r="H41" s="21"/>
    </row>
    <row r="42" spans="1:8" s="20" customFormat="1">
      <c r="A42" s="27" t="s">
        <v>24</v>
      </c>
      <c r="B42" s="88">
        <v>113435.71390000002</v>
      </c>
      <c r="C42" s="88">
        <v>121019.32999999999</v>
      </c>
      <c r="D42" s="23">
        <v>6.6853866734469136E-2</v>
      </c>
      <c r="E42" s="88">
        <v>1030803.85</v>
      </c>
      <c r="F42" s="88">
        <v>1138819.72</v>
      </c>
      <c r="G42" s="23">
        <v>0.10478799628076674</v>
      </c>
      <c r="H42" s="21"/>
    </row>
    <row r="43" spans="1:8" s="20" customFormat="1">
      <c r="A43" s="4" t="s">
        <v>66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28">
        <v>34941.53</v>
      </c>
      <c r="C44" s="28">
        <v>32671.491129495003</v>
      </c>
      <c r="D44" s="28">
        <v>0</v>
      </c>
      <c r="E44" s="28">
        <v>292413.00887789996</v>
      </c>
      <c r="F44" s="28">
        <v>299069.12112949498</v>
      </c>
      <c r="G44" s="29"/>
      <c r="H44" s="21"/>
    </row>
    <row r="45" spans="1:8" s="20" customFormat="1">
      <c r="A45" s="26" t="s">
        <v>9</v>
      </c>
      <c r="B45" s="28">
        <v>1031.6300000000001</v>
      </c>
      <c r="C45" s="28">
        <v>675.62378089999993</v>
      </c>
      <c r="D45" s="28">
        <v>0</v>
      </c>
      <c r="E45" s="28">
        <v>7888.5341297999994</v>
      </c>
      <c r="F45" s="28">
        <v>7095.3437809000006</v>
      </c>
      <c r="G45" s="29"/>
      <c r="H45" s="21"/>
    </row>
    <row r="46" spans="1:8" s="20" customFormat="1">
      <c r="A46" s="27" t="s">
        <v>67</v>
      </c>
      <c r="B46" s="88">
        <v>35973.159999999996</v>
      </c>
      <c r="C46" s="88">
        <v>33347.114910395001</v>
      </c>
      <c r="D46" s="23">
        <v>-7.3000200086461464E-2</v>
      </c>
      <c r="E46" s="88">
        <v>300301.54300769995</v>
      </c>
      <c r="F46" s="88">
        <v>306164.46491039498</v>
      </c>
      <c r="G46" s="23">
        <v>1.9523449143731941E-2</v>
      </c>
      <c r="H46" s="21"/>
    </row>
    <row r="47" spans="1:8">
      <c r="A47" s="4" t="s">
        <v>16</v>
      </c>
      <c r="B47" s="4"/>
      <c r="C47" s="4"/>
      <c r="D47" s="4"/>
      <c r="E47" s="4">
        <v>0</v>
      </c>
      <c r="F47" s="4">
        <v>0</v>
      </c>
      <c r="G47" s="4"/>
    </row>
    <row r="48" spans="1:8" ht="15.6">
      <c r="A48" s="49" t="s">
        <v>6</v>
      </c>
      <c r="B48" s="57">
        <v>28361.265500000001</v>
      </c>
      <c r="C48" s="57">
        <v>29929.57</v>
      </c>
      <c r="D48" s="57"/>
      <c r="E48" s="57">
        <v>254171.93</v>
      </c>
      <c r="F48" s="57">
        <v>279700.25</v>
      </c>
      <c r="G48" s="52"/>
    </row>
    <row r="49" spans="1:7" ht="15.6">
      <c r="A49" s="49" t="s">
        <v>7</v>
      </c>
      <c r="B49" s="57">
        <v>35385.010500000004</v>
      </c>
      <c r="C49" s="57">
        <v>36845.439999999995</v>
      </c>
      <c r="D49" s="52"/>
      <c r="E49" s="57">
        <v>319171.93</v>
      </c>
      <c r="F49" s="57">
        <v>346785.43</v>
      </c>
      <c r="G49" s="52"/>
    </row>
    <row r="50" spans="1:7" ht="15.6">
      <c r="A50" s="49" t="s">
        <v>8</v>
      </c>
      <c r="B50" s="89">
        <v>73593.315000000002</v>
      </c>
      <c r="C50" s="89">
        <v>75588.091129495006</v>
      </c>
      <c r="D50" s="52"/>
      <c r="E50" s="89">
        <v>653118.87887789996</v>
      </c>
      <c r="F50" s="89">
        <v>708332.74112949497</v>
      </c>
      <c r="G50" s="52"/>
    </row>
    <row r="51" spans="1:7" ht="15.6">
      <c r="A51" s="49" t="s">
        <v>9</v>
      </c>
      <c r="B51" s="89">
        <v>12069.282899999998</v>
      </c>
      <c r="C51" s="89">
        <v>12003.343780899999</v>
      </c>
      <c r="D51" s="52"/>
      <c r="E51" s="89">
        <v>104642.65412979999</v>
      </c>
      <c r="F51" s="89">
        <v>110165.76378090002</v>
      </c>
      <c r="G51" s="52" t="s">
        <v>12</v>
      </c>
    </row>
    <row r="52" spans="1:7" ht="15.6">
      <c r="A52" s="18" t="s">
        <v>25</v>
      </c>
      <c r="B52" s="87">
        <v>149408.87390000001</v>
      </c>
      <c r="C52" s="87">
        <v>154366.44491039502</v>
      </c>
      <c r="D52" s="19">
        <v>3.3181214565702444E-2</v>
      </c>
      <c r="E52" s="87">
        <v>1331105.3930076999</v>
      </c>
      <c r="F52" s="87">
        <v>1444984.1849103901</v>
      </c>
      <c r="G52" s="19">
        <v>8.5552047569561918E-2</v>
      </c>
    </row>
    <row r="53" spans="1:7">
      <c r="B53" s="22"/>
      <c r="C53" s="22"/>
      <c r="E53" s="22"/>
      <c r="F53" s="22"/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8FD0-8751-4432-A81C-2F8937165791}">
  <sheetPr>
    <pageSetUpPr fitToPage="1"/>
  </sheetPr>
  <dimension ref="A1:L66"/>
  <sheetViews>
    <sheetView zoomScale="93" zoomScaleNormal="80" workbookViewId="0">
      <pane ySplit="3" topLeftCell="A4" activePane="bottomLeft" state="frozen"/>
      <selection pane="bottomLeft" activeCell="E12" sqref="E12"/>
    </sheetView>
  </sheetViews>
  <sheetFormatPr defaultColWidth="8.77734375" defaultRowHeight="14.4" outlineLevelRow="1"/>
  <cols>
    <col min="1" max="1" width="35.77734375" bestFit="1" customWidth="1"/>
    <col min="2" max="2" width="14.109375" bestFit="1" customWidth="1"/>
    <col min="3" max="4" width="20.44140625" customWidth="1"/>
    <col min="5" max="5" width="19.77734375" bestFit="1" customWidth="1"/>
    <col min="6" max="6" width="12.33203125" bestFit="1" customWidth="1"/>
    <col min="7" max="7" width="15" bestFit="1" customWidth="1"/>
    <col min="8" max="9" width="19" bestFit="1" customWidth="1"/>
    <col min="10" max="10" width="10.33203125" bestFit="1" customWidth="1"/>
    <col min="12" max="12" width="17.6640625" bestFit="1" customWidth="1"/>
  </cols>
  <sheetData>
    <row r="1" spans="1:12" ht="15.6">
      <c r="A1" s="168" t="s">
        <v>76</v>
      </c>
      <c r="B1" s="166"/>
      <c r="C1" s="166"/>
      <c r="D1" s="166"/>
      <c r="E1" s="166"/>
      <c r="F1" s="166"/>
      <c r="G1" s="166"/>
      <c r="H1" s="166"/>
      <c r="I1" s="166"/>
      <c r="J1" s="167"/>
    </row>
    <row r="2" spans="1:12" ht="15.6">
      <c r="A2" s="1"/>
      <c r="B2" s="1" t="s">
        <v>77</v>
      </c>
      <c r="C2" s="163" t="s">
        <v>0</v>
      </c>
      <c r="D2" s="163"/>
      <c r="E2" s="163"/>
      <c r="F2" s="163"/>
      <c r="G2" s="163" t="s">
        <v>78</v>
      </c>
      <c r="H2" s="163"/>
      <c r="I2" s="163"/>
      <c r="J2" s="163"/>
    </row>
    <row r="3" spans="1:12" ht="15.6">
      <c r="A3" s="2" t="s">
        <v>1</v>
      </c>
      <c r="B3" s="93">
        <v>45688</v>
      </c>
      <c r="C3" s="3" t="s">
        <v>79</v>
      </c>
      <c r="D3" s="2" t="s">
        <v>80</v>
      </c>
      <c r="E3" s="2" t="s">
        <v>81</v>
      </c>
      <c r="F3" s="2" t="s">
        <v>2</v>
      </c>
      <c r="G3" s="2" t="s">
        <v>82</v>
      </c>
      <c r="H3" s="2" t="s">
        <v>83</v>
      </c>
      <c r="I3" s="2" t="s">
        <v>84</v>
      </c>
      <c r="J3" s="2" t="s">
        <v>2</v>
      </c>
    </row>
    <row r="4" spans="1:12" collapsed="1">
      <c r="A4" s="4" t="s">
        <v>13</v>
      </c>
      <c r="B4" s="11" t="s">
        <v>3</v>
      </c>
      <c r="C4" s="4" t="s">
        <v>4</v>
      </c>
      <c r="D4" s="6" t="s">
        <v>27</v>
      </c>
      <c r="E4" s="7" t="s">
        <v>69</v>
      </c>
      <c r="F4" s="6" t="s">
        <v>70</v>
      </c>
      <c r="G4" s="6" t="s">
        <v>5</v>
      </c>
      <c r="H4" s="8" t="s">
        <v>71</v>
      </c>
      <c r="I4" s="8" t="s">
        <v>72</v>
      </c>
      <c r="J4" s="9" t="s">
        <v>73</v>
      </c>
    </row>
    <row r="5" spans="1:12" outlineLevel="1">
      <c r="A5" s="10" t="s">
        <v>6</v>
      </c>
      <c r="B5" s="94">
        <v>314.70519999999999</v>
      </c>
      <c r="C5" s="11">
        <v>32684.857199999999</v>
      </c>
      <c r="D5" s="11">
        <v>32684.86</v>
      </c>
      <c r="E5" s="11">
        <v>36076.949999999997</v>
      </c>
      <c r="F5" s="11"/>
      <c r="G5" s="11">
        <v>375710.38</v>
      </c>
      <c r="H5" s="11">
        <v>309393.21999999997</v>
      </c>
      <c r="I5" s="11">
        <v>340426.88</v>
      </c>
      <c r="J5" s="12"/>
      <c r="K5" s="13"/>
    </row>
    <row r="6" spans="1:12" outlineLevel="1">
      <c r="A6" s="10" t="s">
        <v>7</v>
      </c>
      <c r="B6" s="5">
        <v>383.92949999999996</v>
      </c>
      <c r="C6" s="11">
        <v>40895.274900000004</v>
      </c>
      <c r="D6" s="11">
        <v>40895.269999999997</v>
      </c>
      <c r="E6" s="11">
        <v>44941.75</v>
      </c>
      <c r="F6" s="11"/>
      <c r="G6" s="11">
        <v>471195.07</v>
      </c>
      <c r="H6" s="11">
        <v>387833.51</v>
      </c>
      <c r="I6" s="11">
        <v>422852.67</v>
      </c>
      <c r="J6" s="12"/>
    </row>
    <row r="7" spans="1:12" outlineLevel="1">
      <c r="A7" s="10" t="s">
        <v>8</v>
      </c>
      <c r="B7" s="5">
        <v>221.54300000000001</v>
      </c>
      <c r="C7" s="11">
        <v>48951.572899999999</v>
      </c>
      <c r="D7" s="11">
        <v>48951.57</v>
      </c>
      <c r="E7" s="11">
        <v>53622.6</v>
      </c>
      <c r="F7" s="11"/>
      <c r="G7" s="11">
        <v>543703.79</v>
      </c>
      <c r="H7" s="11">
        <v>450574.28</v>
      </c>
      <c r="I7" s="11">
        <v>503461.73</v>
      </c>
      <c r="J7" s="12"/>
      <c r="K7" s="13"/>
    </row>
    <row r="8" spans="1:12" outlineLevel="1">
      <c r="A8" s="10" t="s">
        <v>9</v>
      </c>
      <c r="B8" s="5">
        <v>3.9957000000000003</v>
      </c>
      <c r="C8" s="11">
        <v>11172.9463</v>
      </c>
      <c r="D8" s="11">
        <v>11172.95</v>
      </c>
      <c r="E8" s="11">
        <v>12482.94</v>
      </c>
      <c r="F8" s="11"/>
      <c r="G8" s="11">
        <v>132639.24</v>
      </c>
      <c r="H8" s="11">
        <v>109521.64</v>
      </c>
      <c r="I8" s="11">
        <v>117788.44</v>
      </c>
      <c r="J8" s="12"/>
    </row>
    <row r="9" spans="1:12">
      <c r="A9" s="14" t="s">
        <v>20</v>
      </c>
      <c r="B9" s="95">
        <f>SUM(B5:B8)</f>
        <v>924.17340000000002</v>
      </c>
      <c r="C9" s="6">
        <f t="shared" ref="C9" si="0">SUM(C5:C8)</f>
        <v>133704.6513</v>
      </c>
      <c r="D9" s="6">
        <f>SUM(D5:D8)</f>
        <v>133704.65000000002</v>
      </c>
      <c r="E9" s="6">
        <f>SUM(E5:E8)</f>
        <v>147124.24</v>
      </c>
      <c r="F9" s="9">
        <f>E9/D9-1</f>
        <v>0.10036741429710916</v>
      </c>
      <c r="G9" s="8">
        <f>SUM(G5:G8)</f>
        <v>1523248.48</v>
      </c>
      <c r="H9" s="8">
        <f>SUM(H5:H8)</f>
        <v>1257322.6499999999</v>
      </c>
      <c r="I9" s="8">
        <f>SUM(I5:I8)</f>
        <v>1384529.72</v>
      </c>
      <c r="J9" s="9">
        <f>I9/H9-1</f>
        <v>0.10117297258583546</v>
      </c>
    </row>
    <row r="10" spans="1:12" ht="12.45" customHeight="1" collapsed="1">
      <c r="A10" s="4" t="s">
        <v>14</v>
      </c>
      <c r="B10" s="11"/>
      <c r="C10" s="11"/>
      <c r="D10" s="11"/>
      <c r="E10" s="83"/>
      <c r="F10" s="62"/>
      <c r="G10" s="5"/>
      <c r="H10" s="5"/>
      <c r="I10" s="5"/>
      <c r="J10" s="9"/>
    </row>
    <row r="11" spans="1:12" outlineLevel="1">
      <c r="A11" s="10" t="s">
        <v>8</v>
      </c>
      <c r="B11" s="11">
        <v>2678.7680172</v>
      </c>
      <c r="C11" s="11">
        <v>39598.129999999997</v>
      </c>
      <c r="D11" s="11">
        <v>39598.129999999997</v>
      </c>
      <c r="E11" s="11">
        <f>47384.6247669+B66</f>
        <v>47452.661698700002</v>
      </c>
      <c r="F11" s="11"/>
      <c r="G11" s="11">
        <v>483086</v>
      </c>
      <c r="H11" s="11">
        <f>34972.35+41771.57+39035.3+41238.68+43550.37+41145.4+42126.87+39198.37+41533.53+D11</f>
        <v>404170.56999999995</v>
      </c>
      <c r="I11" s="11">
        <f>37826.5+39879.26+40040.36+47009.38+49027.83+44507.44+44233.3+41735.53+43437.62+E11</f>
        <v>435149.88169869996</v>
      </c>
      <c r="J11" s="12"/>
    </row>
    <row r="12" spans="1:12" outlineLevel="1">
      <c r="A12" s="10" t="s">
        <v>9</v>
      </c>
      <c r="B12" s="11">
        <v>88.5321888</v>
      </c>
      <c r="C12" s="11">
        <v>803.35</v>
      </c>
      <c r="D12" s="11">
        <v>803.35</v>
      </c>
      <c r="E12" s="11">
        <f>928.984445+C66</f>
        <v>929.03909450000003</v>
      </c>
      <c r="F12" s="11"/>
      <c r="G12" s="11">
        <v>11915</v>
      </c>
      <c r="H12" s="11">
        <f>900.89+1057.33+1027.98+840.2+1015.84+880.54+1294.01+1035.82+1078.95+D12</f>
        <v>9934.91</v>
      </c>
      <c r="I12" s="11">
        <f>1008.02+1076.32+972.02+1029.49+948.27+882.79+862.5+855.34+830.04+E12</f>
        <v>9393.8290945000008</v>
      </c>
      <c r="J12" s="12"/>
    </row>
    <row r="13" spans="1:12">
      <c r="A13" s="14" t="s">
        <v>21</v>
      </c>
      <c r="B13" s="6">
        <f>SUM(B11:B12)</f>
        <v>2767.3002059999999</v>
      </c>
      <c r="C13" s="6">
        <f>SUM(C11:C12)</f>
        <v>40401.479999999996</v>
      </c>
      <c r="D13" s="6">
        <f>SUM(D11:D12)</f>
        <v>40401.479999999996</v>
      </c>
      <c r="E13" s="6">
        <f>SUM(E11:E12)</f>
        <v>48381.700793200005</v>
      </c>
      <c r="F13" s="9">
        <f>E13/D13-1</f>
        <v>0.19752298166304816</v>
      </c>
      <c r="G13" s="6">
        <f t="shared" ref="G13" si="1">SUM(G11:G12)</f>
        <v>495001</v>
      </c>
      <c r="H13" s="6">
        <f>SUM(H11:H12)</f>
        <v>414105.47999999992</v>
      </c>
      <c r="I13" s="6">
        <f>SUM(I11:I12)</f>
        <v>444543.71079319995</v>
      </c>
      <c r="J13" s="23">
        <f>I13/H13-1</f>
        <v>7.3503569170830563E-2</v>
      </c>
      <c r="L13" s="22"/>
    </row>
    <row r="14" spans="1:12">
      <c r="A14" s="4" t="s">
        <v>17</v>
      </c>
      <c r="B14" s="4"/>
      <c r="C14" s="4"/>
      <c r="D14" s="4"/>
      <c r="E14" s="4"/>
      <c r="F14" s="4"/>
      <c r="G14" s="4"/>
      <c r="H14" s="4"/>
      <c r="I14" s="4"/>
      <c r="J14" s="4"/>
    </row>
    <row r="15" spans="1:12" ht="15.6">
      <c r="A15" s="49" t="s">
        <v>6</v>
      </c>
      <c r="B15" s="57">
        <f t="shared" ref="B15:E16" si="2">B5</f>
        <v>314.70519999999999</v>
      </c>
      <c r="C15" s="86">
        <f t="shared" si="2"/>
        <v>32684.857199999999</v>
      </c>
      <c r="D15" s="57">
        <f t="shared" si="2"/>
        <v>32684.86</v>
      </c>
      <c r="E15" s="57">
        <f t="shared" si="2"/>
        <v>36076.949999999997</v>
      </c>
      <c r="F15" s="52"/>
      <c r="G15" s="52">
        <f t="shared" ref="G15:I16" si="3">G5</f>
        <v>375710.38</v>
      </c>
      <c r="H15" s="57">
        <f t="shared" si="3"/>
        <v>309393.21999999997</v>
      </c>
      <c r="I15" s="57">
        <f t="shared" si="3"/>
        <v>340426.88</v>
      </c>
      <c r="J15" s="52"/>
      <c r="L15" s="22"/>
    </row>
    <row r="16" spans="1:12" ht="15.6">
      <c r="A16" s="49" t="s">
        <v>7</v>
      </c>
      <c r="B16" s="57">
        <f t="shared" si="2"/>
        <v>383.92949999999996</v>
      </c>
      <c r="C16" s="86">
        <f t="shared" si="2"/>
        <v>40895.274900000004</v>
      </c>
      <c r="D16" s="57">
        <f t="shared" si="2"/>
        <v>40895.269999999997</v>
      </c>
      <c r="E16" s="57">
        <f t="shared" si="2"/>
        <v>44941.75</v>
      </c>
      <c r="F16" s="52"/>
      <c r="G16" s="52">
        <f t="shared" si="3"/>
        <v>471195.07</v>
      </c>
      <c r="H16" s="57">
        <f t="shared" si="3"/>
        <v>387833.51</v>
      </c>
      <c r="I16" s="57">
        <f t="shared" si="3"/>
        <v>422852.67</v>
      </c>
      <c r="J16" s="52"/>
    </row>
    <row r="17" spans="1:12" ht="15.6">
      <c r="A17" s="49" t="s">
        <v>8</v>
      </c>
      <c r="B17" s="89">
        <f>B7+B11</f>
        <v>2900.3110172000002</v>
      </c>
      <c r="C17" s="86">
        <f t="shared" ref="B17:C18" si="4">C7+C11</f>
        <v>88549.702900000004</v>
      </c>
      <c r="D17" s="57">
        <f>D7+D11</f>
        <v>88549.7</v>
      </c>
      <c r="E17" s="57">
        <f>E7+E11</f>
        <v>101075.26169869999</v>
      </c>
      <c r="F17" s="52"/>
      <c r="G17" s="52">
        <f t="shared" ref="G17:I18" si="5">G7+G11</f>
        <v>1026789.79</v>
      </c>
      <c r="H17" s="57">
        <f t="shared" si="5"/>
        <v>854744.85</v>
      </c>
      <c r="I17" s="57">
        <f t="shared" si="5"/>
        <v>938611.61169869988</v>
      </c>
      <c r="J17" s="52"/>
    </row>
    <row r="18" spans="1:12" ht="15.6">
      <c r="A18" s="49" t="s">
        <v>9</v>
      </c>
      <c r="B18" s="57">
        <f t="shared" si="4"/>
        <v>92.527888799999999</v>
      </c>
      <c r="C18" s="86">
        <f t="shared" si="4"/>
        <v>11976.2963</v>
      </c>
      <c r="D18" s="57">
        <f>D8+D12</f>
        <v>11976.300000000001</v>
      </c>
      <c r="E18" s="57">
        <f>E8+E12</f>
        <v>13411.9790945</v>
      </c>
      <c r="F18" s="52"/>
      <c r="G18" s="52">
        <f t="shared" si="5"/>
        <v>144554.23999999999</v>
      </c>
      <c r="H18" s="57">
        <f t="shared" si="5"/>
        <v>119456.55</v>
      </c>
      <c r="I18" s="57">
        <f t="shared" si="5"/>
        <v>127182.26909450001</v>
      </c>
      <c r="J18" s="52"/>
    </row>
    <row r="19" spans="1:12" ht="15.6">
      <c r="A19" s="18" t="s">
        <v>22</v>
      </c>
      <c r="B19" s="96">
        <f>SUM(B15:B18)</f>
        <v>3691.473606</v>
      </c>
      <c r="C19" s="87">
        <f t="shared" ref="C19:I19" si="6">SUM(C15:C18)</f>
        <v>174106.13130000001</v>
      </c>
      <c r="D19" s="87">
        <f t="shared" si="6"/>
        <v>174106.13</v>
      </c>
      <c r="E19" s="87">
        <f t="shared" si="6"/>
        <v>195505.94079319999</v>
      </c>
      <c r="F19" s="19">
        <f>E19/D19-1</f>
        <v>0.12291244882187646</v>
      </c>
      <c r="G19" s="87">
        <f t="shared" ref="G19:H19" si="7">SUM(G15:G18)</f>
        <v>2018249.48</v>
      </c>
      <c r="H19" s="87">
        <f t="shared" si="7"/>
        <v>1671428.1300000001</v>
      </c>
      <c r="I19" s="87">
        <f t="shared" si="6"/>
        <v>1829073.4307931999</v>
      </c>
      <c r="J19" s="19">
        <f>I19/H19-1</f>
        <v>9.4317726238818178E-2</v>
      </c>
    </row>
    <row r="20" spans="1:12" s="20" customFormat="1" collapsed="1">
      <c r="A20" s="4" t="s">
        <v>15</v>
      </c>
      <c r="B20" s="68"/>
      <c r="C20" s="68"/>
      <c r="D20" s="68"/>
      <c r="E20" s="68"/>
      <c r="F20" s="68"/>
      <c r="G20" s="68"/>
      <c r="H20" s="11"/>
      <c r="I20" s="11"/>
      <c r="J20" s="5"/>
      <c r="L20"/>
    </row>
    <row r="21" spans="1:12" s="20" customFormat="1" outlineLevel="1">
      <c r="A21" s="10" t="s">
        <v>6</v>
      </c>
      <c r="B21" s="11">
        <v>173.23000000000002</v>
      </c>
      <c r="C21" s="11">
        <v>2606.5899999999997</v>
      </c>
      <c r="D21" s="11">
        <v>2606.59</v>
      </c>
      <c r="E21" s="11">
        <v>3617</v>
      </c>
      <c r="F21" s="11"/>
      <c r="G21" s="11">
        <v>30306.6</v>
      </c>
      <c r="H21" s="11">
        <v>24681.37</v>
      </c>
      <c r="I21" s="11">
        <v>28266.230000000003</v>
      </c>
      <c r="J21" s="12"/>
      <c r="L21"/>
    </row>
    <row r="22" spans="1:12" s="20" customFormat="1" outlineLevel="1">
      <c r="A22" s="10" t="s">
        <v>7</v>
      </c>
      <c r="B22" s="11">
        <v>199.56</v>
      </c>
      <c r="C22" s="11">
        <v>3364.56</v>
      </c>
      <c r="D22" s="11">
        <v>3364.56</v>
      </c>
      <c r="E22" s="11">
        <v>4769.74</v>
      </c>
      <c r="F22" s="11"/>
      <c r="G22" s="11">
        <v>37541.630000000005</v>
      </c>
      <c r="H22" s="11">
        <v>30561.85</v>
      </c>
      <c r="I22" s="11">
        <v>35894.65</v>
      </c>
      <c r="J22" s="12"/>
      <c r="L22"/>
    </row>
    <row r="23" spans="1:12" s="20" customFormat="1" outlineLevel="1">
      <c r="A23" s="10" t="s">
        <v>8</v>
      </c>
      <c r="B23" s="11">
        <v>266.67</v>
      </c>
      <c r="C23" s="11">
        <v>4701.17</v>
      </c>
      <c r="D23" s="11">
        <v>4701.17</v>
      </c>
      <c r="E23" s="11">
        <v>5788.92</v>
      </c>
      <c r="F23" s="11"/>
      <c r="G23" s="11">
        <v>53406.130000000005</v>
      </c>
      <c r="H23" s="11">
        <v>44806.91</v>
      </c>
      <c r="I23" s="11">
        <v>46311.119999999995</v>
      </c>
      <c r="J23" s="12"/>
      <c r="L23" s="54"/>
    </row>
    <row r="24" spans="1:12" s="20" customFormat="1" outlineLevel="1">
      <c r="A24" s="10" t="s">
        <v>9</v>
      </c>
      <c r="B24" s="11">
        <v>19.95</v>
      </c>
      <c r="C24" s="11">
        <v>172.27</v>
      </c>
      <c r="D24" s="11">
        <v>172.27</v>
      </c>
      <c r="E24" s="11">
        <v>216.32</v>
      </c>
      <c r="F24" s="11"/>
      <c r="G24" s="11">
        <v>2340.2700000000004</v>
      </c>
      <c r="H24" s="11">
        <v>1742.4</v>
      </c>
      <c r="I24" s="11">
        <v>2451.37</v>
      </c>
      <c r="J24" s="12"/>
      <c r="L24" s="54"/>
    </row>
    <row r="25" spans="1:12" s="20" customFormat="1">
      <c r="A25" s="14" t="s">
        <v>10</v>
      </c>
      <c r="B25" s="6">
        <f>SUM(B21:B24)</f>
        <v>659.41000000000008</v>
      </c>
      <c r="C25" s="97">
        <f>SUM(C21:C24)</f>
        <v>10844.59</v>
      </c>
      <c r="D25" s="6">
        <f>SUM(D21:D24)</f>
        <v>10844.59</v>
      </c>
      <c r="E25" s="6">
        <f>SUM(E21:E24)</f>
        <v>14391.98</v>
      </c>
      <c r="F25" s="23">
        <f>E25/D25-1</f>
        <v>0.32711149061421407</v>
      </c>
      <c r="G25" s="6">
        <f>SUM(G21:G24)</f>
        <v>123594.63000000002</v>
      </c>
      <c r="H25" s="6">
        <f>SUM(H21:H24)</f>
        <v>101792.53</v>
      </c>
      <c r="I25" s="6">
        <f>SUM(I21:I24)</f>
        <v>112923.37</v>
      </c>
      <c r="J25" s="23">
        <f>I25/H25-1</f>
        <v>0.10934829893706333</v>
      </c>
      <c r="K25" s="98"/>
      <c r="L25" s="21"/>
    </row>
    <row r="26" spans="1:12" s="20" customFormat="1" collapsed="1">
      <c r="A26" s="4" t="s">
        <v>65</v>
      </c>
      <c r="B26" s="11"/>
      <c r="C26" s="11"/>
      <c r="D26" s="11"/>
      <c r="E26" s="11"/>
      <c r="F26" s="5"/>
      <c r="G26" s="4"/>
      <c r="H26" s="5"/>
      <c r="I26" s="4"/>
      <c r="J26" s="5"/>
    </row>
    <row r="27" spans="1:12" s="20" customFormat="1" outlineLevel="1">
      <c r="A27" s="10" t="s">
        <v>8</v>
      </c>
      <c r="B27" s="11">
        <v>163.9733635</v>
      </c>
      <c r="C27" s="11">
        <v>8247.74</v>
      </c>
      <c r="D27" s="11">
        <v>8247.7419066000002</v>
      </c>
      <c r="E27" s="11">
        <v>9274.3498431999997</v>
      </c>
      <c r="F27" s="11"/>
      <c r="G27" s="11">
        <v>92142.816487999997</v>
      </c>
      <c r="H27" s="11">
        <f>8559.18+8833.76+7252.14+8197.34+8622.51+6854.31+8816.16+8432.03+6592+D27</f>
        <v>80407.171906599993</v>
      </c>
      <c r="I27" s="11">
        <f>7429.74+16215.2+8603.5+8335.27+10074.31+9579.64+8605.73+9018.58+10766.13+E27</f>
        <v>97902.449843200011</v>
      </c>
      <c r="J27" s="12"/>
      <c r="K27" s="21"/>
      <c r="L27" s="54"/>
    </row>
    <row r="28" spans="1:12" s="20" customFormat="1" outlineLevel="1">
      <c r="A28" s="10" t="s">
        <v>9</v>
      </c>
      <c r="B28" s="11">
        <v>0</v>
      </c>
      <c r="C28" s="11">
        <v>162.81</v>
      </c>
      <c r="D28" s="11">
        <v>162.8099411</v>
      </c>
      <c r="E28" s="11">
        <v>186.46122070000001</v>
      </c>
      <c r="F28" s="11"/>
      <c r="G28" s="11">
        <v>1541.4374903</v>
      </c>
      <c r="H28" s="11">
        <f>139.56+198.95+92.97+154.48+139.56+166.82+167.2+136.17+47.32+D28</f>
        <v>1405.8399411</v>
      </c>
      <c r="I28" s="11">
        <f>67.33+230.47+169.45+134.77+87.88+194.07+202.28+128.78+154.41+E28</f>
        <v>1555.9012207000001</v>
      </c>
      <c r="J28" s="12"/>
      <c r="K28" s="21"/>
      <c r="L28" s="54"/>
    </row>
    <row r="29" spans="1:12" s="20" customFormat="1">
      <c r="A29" s="14" t="s">
        <v>11</v>
      </c>
      <c r="B29" s="6">
        <f>SUM(B27:B28)</f>
        <v>163.9733635</v>
      </c>
      <c r="C29" s="6">
        <f>SUM(C27:C28)</f>
        <v>8410.5499999999993</v>
      </c>
      <c r="D29" s="6">
        <f>SUM(D27:D28)</f>
        <v>8410.5518477000005</v>
      </c>
      <c r="E29" s="6">
        <f>SUM(E27:E28)</f>
        <v>9460.8110639000006</v>
      </c>
      <c r="F29" s="23">
        <f>E29/D29-1</f>
        <v>0.12487399581125103</v>
      </c>
      <c r="G29" s="6">
        <f>SUM(G27:G28)</f>
        <v>93684.253978299996</v>
      </c>
      <c r="H29" s="6">
        <f>SUM(H27:H28)</f>
        <v>81813.011847699992</v>
      </c>
      <c r="I29" s="6">
        <f>SUM(I27:I28)</f>
        <v>99458.351063900016</v>
      </c>
      <c r="J29" s="23">
        <f>I29/H29-1</f>
        <v>0.21567888551820968</v>
      </c>
      <c r="K29" s="21"/>
      <c r="L29"/>
    </row>
    <row r="30" spans="1:12" s="20" customFormat="1">
      <c r="A30" s="4" t="s">
        <v>18</v>
      </c>
      <c r="B30" s="4"/>
      <c r="C30" s="4"/>
      <c r="D30" s="4"/>
      <c r="E30" s="6"/>
      <c r="F30" s="4"/>
      <c r="G30" s="4"/>
      <c r="H30" s="4"/>
      <c r="I30" s="4"/>
      <c r="J30" s="4"/>
      <c r="K30" s="21"/>
      <c r="L30"/>
    </row>
    <row r="31" spans="1:12" s="20" customFormat="1">
      <c r="A31" s="25" t="s">
        <v>6</v>
      </c>
      <c r="B31" s="28">
        <f t="shared" ref="B31:E32" si="8">B21</f>
        <v>173.23000000000002</v>
      </c>
      <c r="C31" s="28">
        <f t="shared" si="8"/>
        <v>2606.5899999999997</v>
      </c>
      <c r="D31" s="28">
        <f t="shared" si="8"/>
        <v>2606.59</v>
      </c>
      <c r="E31" s="28">
        <f t="shared" si="8"/>
        <v>3617</v>
      </c>
      <c r="F31" s="29"/>
      <c r="G31" s="28">
        <f t="shared" ref="G31:I32" si="9">G21</f>
        <v>30306.6</v>
      </c>
      <c r="H31" s="28">
        <f t="shared" si="9"/>
        <v>24681.37</v>
      </c>
      <c r="I31" s="28">
        <f t="shared" si="9"/>
        <v>28266.230000000003</v>
      </c>
      <c r="J31" s="24"/>
      <c r="K31" s="21"/>
      <c r="L31"/>
    </row>
    <row r="32" spans="1:12" s="20" customFormat="1">
      <c r="A32" s="26" t="s">
        <v>7</v>
      </c>
      <c r="B32" s="28">
        <f t="shared" si="8"/>
        <v>199.56</v>
      </c>
      <c r="C32" s="28">
        <f t="shared" si="8"/>
        <v>3364.56</v>
      </c>
      <c r="D32" s="28">
        <f t="shared" si="8"/>
        <v>3364.56</v>
      </c>
      <c r="E32" s="28">
        <f t="shared" si="8"/>
        <v>4769.74</v>
      </c>
      <c r="F32" s="29"/>
      <c r="G32" s="28">
        <f t="shared" si="9"/>
        <v>37541.630000000005</v>
      </c>
      <c r="H32" s="28">
        <f t="shared" si="9"/>
        <v>30561.85</v>
      </c>
      <c r="I32" s="28">
        <f t="shared" si="9"/>
        <v>35894.65</v>
      </c>
      <c r="J32" s="24"/>
      <c r="K32" s="21"/>
      <c r="L32"/>
    </row>
    <row r="33" spans="1:12" s="20" customFormat="1">
      <c r="A33" s="26" t="s">
        <v>8</v>
      </c>
      <c r="B33" s="28">
        <f>B23+B27</f>
        <v>430.64336350000002</v>
      </c>
      <c r="C33" s="28">
        <f t="shared" ref="C33:E34" si="10">C23+C27</f>
        <v>12948.91</v>
      </c>
      <c r="D33" s="28">
        <f>D23+D27</f>
        <v>12948.9119066</v>
      </c>
      <c r="E33" s="28">
        <f t="shared" si="10"/>
        <v>15063.2698432</v>
      </c>
      <c r="F33" s="29"/>
      <c r="G33" s="28">
        <f t="shared" ref="G33:I34" si="11">G23+G27</f>
        <v>145548.94648799999</v>
      </c>
      <c r="H33" s="28">
        <f t="shared" si="11"/>
        <v>125214.0819066</v>
      </c>
      <c r="I33" s="28">
        <f t="shared" si="11"/>
        <v>144213.56984320001</v>
      </c>
      <c r="J33" s="24"/>
      <c r="K33" s="21"/>
      <c r="L33"/>
    </row>
    <row r="34" spans="1:12" s="20" customFormat="1">
      <c r="A34" s="26" t="s">
        <v>9</v>
      </c>
      <c r="B34" s="28">
        <f>B24+B28</f>
        <v>19.95</v>
      </c>
      <c r="C34" s="28">
        <f t="shared" si="10"/>
        <v>335.08000000000004</v>
      </c>
      <c r="D34" s="28">
        <f>D24+D28</f>
        <v>335.07994110000004</v>
      </c>
      <c r="E34" s="28">
        <f t="shared" si="10"/>
        <v>402.78122070000001</v>
      </c>
      <c r="F34" s="29"/>
      <c r="G34" s="28">
        <f t="shared" si="11"/>
        <v>3881.7074903000002</v>
      </c>
      <c r="H34" s="28">
        <f t="shared" si="11"/>
        <v>3148.2399411000001</v>
      </c>
      <c r="I34" s="28">
        <f t="shared" si="11"/>
        <v>4007.2712207</v>
      </c>
      <c r="J34" s="24"/>
      <c r="K34" s="21"/>
      <c r="L34"/>
    </row>
    <row r="35" spans="1:12" s="20" customFormat="1" ht="15.6">
      <c r="A35" s="30" t="s">
        <v>23</v>
      </c>
      <c r="B35" s="96">
        <f>SUM(B31:B34)</f>
        <v>823.38336350000009</v>
      </c>
      <c r="C35" s="96">
        <f>SUM(C31:C34)</f>
        <v>19255.14</v>
      </c>
      <c r="D35" s="96">
        <f>SUM(D31:D34)</f>
        <v>19255.141847700001</v>
      </c>
      <c r="E35" s="96">
        <f>SUM(E31:E34)</f>
        <v>23852.7910639</v>
      </c>
      <c r="F35" s="31">
        <f>E35/D35-1</f>
        <v>0.23877514133967193</v>
      </c>
      <c r="G35" s="96">
        <f>SUM(G31:G34)</f>
        <v>217278.8839783</v>
      </c>
      <c r="H35" s="96">
        <f>SUM(H31:H34)</f>
        <v>183605.54184770002</v>
      </c>
      <c r="I35" s="96">
        <f>SUM(I31:I34)</f>
        <v>212381.72106390001</v>
      </c>
      <c r="J35" s="31">
        <f>I35/H35-1</f>
        <v>0.15672827152499402</v>
      </c>
      <c r="K35" s="21"/>
      <c r="L35"/>
    </row>
    <row r="36" spans="1:12" s="20" customFormat="1">
      <c r="A36" s="4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21"/>
      <c r="L36"/>
    </row>
    <row r="37" spans="1:12" s="20" customFormat="1">
      <c r="A37" s="25" t="s">
        <v>6</v>
      </c>
      <c r="B37" s="28">
        <f>B5-B21</f>
        <v>141.47519999999997</v>
      </c>
      <c r="C37" s="28">
        <f t="shared" ref="C37:I37" si="12">C5-C21</f>
        <v>30078.267199999998</v>
      </c>
      <c r="D37" s="28">
        <f t="shared" si="12"/>
        <v>30078.27</v>
      </c>
      <c r="E37" s="28">
        <f t="shared" si="12"/>
        <v>32459.949999999997</v>
      </c>
      <c r="F37" s="28">
        <f t="shared" si="12"/>
        <v>0</v>
      </c>
      <c r="G37" s="28">
        <f t="shared" si="12"/>
        <v>345403.78</v>
      </c>
      <c r="H37" s="28">
        <f t="shared" si="12"/>
        <v>284711.84999999998</v>
      </c>
      <c r="I37" s="28">
        <f t="shared" si="12"/>
        <v>312160.65000000002</v>
      </c>
      <c r="J37" s="29"/>
      <c r="K37" s="21"/>
      <c r="L37"/>
    </row>
    <row r="38" spans="1:12" s="20" customFormat="1">
      <c r="A38" s="26" t="s">
        <v>7</v>
      </c>
      <c r="B38" s="28">
        <f t="shared" ref="B38:I40" si="13">B6-B22</f>
        <v>184.36949999999996</v>
      </c>
      <c r="C38" s="28">
        <f t="shared" si="13"/>
        <v>37530.714900000006</v>
      </c>
      <c r="D38" s="28">
        <f t="shared" si="13"/>
        <v>37530.71</v>
      </c>
      <c r="E38" s="28">
        <f t="shared" si="13"/>
        <v>40172.01</v>
      </c>
      <c r="F38" s="28">
        <f t="shared" si="13"/>
        <v>0</v>
      </c>
      <c r="G38" s="28">
        <f t="shared" si="13"/>
        <v>433653.44</v>
      </c>
      <c r="H38" s="28">
        <f t="shared" si="13"/>
        <v>357271.66000000003</v>
      </c>
      <c r="I38" s="28">
        <f t="shared" si="13"/>
        <v>386958.01999999996</v>
      </c>
      <c r="J38" s="29"/>
      <c r="K38" s="21"/>
      <c r="L38"/>
    </row>
    <row r="39" spans="1:12" s="20" customFormat="1">
      <c r="A39" s="26" t="s">
        <v>8</v>
      </c>
      <c r="B39" s="28">
        <f t="shared" si="13"/>
        <v>-45.12700000000001</v>
      </c>
      <c r="C39" s="28">
        <f t="shared" si="13"/>
        <v>44250.402900000001</v>
      </c>
      <c r="D39" s="28">
        <f>D7-D23</f>
        <v>44250.400000000001</v>
      </c>
      <c r="E39" s="28">
        <f t="shared" si="13"/>
        <v>47833.68</v>
      </c>
      <c r="F39" s="28">
        <f t="shared" si="13"/>
        <v>0</v>
      </c>
      <c r="G39" s="28">
        <f t="shared" si="13"/>
        <v>490297.66000000003</v>
      </c>
      <c r="H39" s="28">
        <f t="shared" si="13"/>
        <v>405767.37</v>
      </c>
      <c r="I39" s="28">
        <f t="shared" si="13"/>
        <v>457150.61</v>
      </c>
      <c r="J39" s="29"/>
      <c r="K39" s="21"/>
      <c r="L39"/>
    </row>
    <row r="40" spans="1:12" s="20" customFormat="1">
      <c r="A40" s="26" t="s">
        <v>9</v>
      </c>
      <c r="B40" s="28">
        <f t="shared" si="13"/>
        <v>-15.9543</v>
      </c>
      <c r="C40" s="28">
        <f t="shared" si="13"/>
        <v>11000.676299999999</v>
      </c>
      <c r="D40" s="28">
        <f t="shared" si="13"/>
        <v>11000.68</v>
      </c>
      <c r="E40" s="28">
        <f t="shared" si="13"/>
        <v>12266.62</v>
      </c>
      <c r="F40" s="28">
        <f t="shared" si="13"/>
        <v>0</v>
      </c>
      <c r="G40" s="28">
        <f t="shared" si="13"/>
        <v>130298.96999999999</v>
      </c>
      <c r="H40" s="28">
        <f t="shared" si="13"/>
        <v>107779.24</v>
      </c>
      <c r="I40" s="28">
        <f t="shared" si="13"/>
        <v>115337.07</v>
      </c>
      <c r="J40" s="29"/>
      <c r="K40" s="21"/>
      <c r="L40"/>
    </row>
    <row r="41" spans="1:12" s="20" customFormat="1">
      <c r="A41" s="27" t="s">
        <v>24</v>
      </c>
      <c r="B41" s="88">
        <f>SUM(B37:B40)</f>
        <v>264.76339999999993</v>
      </c>
      <c r="C41" s="88">
        <f t="shared" ref="C41:I41" si="14">SUM(C37:C40)</f>
        <v>122860.0613</v>
      </c>
      <c r="D41" s="88">
        <f t="shared" si="14"/>
        <v>122860.06</v>
      </c>
      <c r="E41" s="88">
        <f t="shared" si="14"/>
        <v>132732.25999999998</v>
      </c>
      <c r="F41" s="23">
        <f>E41/D41-1</f>
        <v>8.0353208357540895E-2</v>
      </c>
      <c r="G41" s="88">
        <f t="shared" si="14"/>
        <v>1399653.8499999999</v>
      </c>
      <c r="H41" s="88">
        <f t="shared" si="14"/>
        <v>1155530.1200000001</v>
      </c>
      <c r="I41" s="88">
        <f t="shared" si="14"/>
        <v>1271606.3499999999</v>
      </c>
      <c r="J41" s="23">
        <f>I41/H41-1</f>
        <v>0.10045279477440161</v>
      </c>
      <c r="K41" s="21"/>
      <c r="L41"/>
    </row>
    <row r="42" spans="1:12" s="20" customFormat="1">
      <c r="A42" s="4" t="s">
        <v>66</v>
      </c>
      <c r="B42" s="4"/>
      <c r="C42" s="4"/>
      <c r="D42" s="4"/>
      <c r="E42" s="4"/>
      <c r="F42" s="4"/>
      <c r="G42" s="4"/>
      <c r="H42" s="4"/>
      <c r="I42" s="4"/>
      <c r="J42" s="4"/>
      <c r="K42" s="21"/>
      <c r="L42"/>
    </row>
    <row r="43" spans="1:12" s="20" customFormat="1">
      <c r="A43" s="26" t="s">
        <v>8</v>
      </c>
      <c r="B43" s="28">
        <f>B11-B27</f>
        <v>2514.7946536999998</v>
      </c>
      <c r="C43" s="28">
        <f t="shared" ref="C43:I44" si="15">C11-C27</f>
        <v>31350.39</v>
      </c>
      <c r="D43" s="28">
        <f>D11-D27</f>
        <v>31350.388093399997</v>
      </c>
      <c r="E43" s="28">
        <f>E11-E27</f>
        <v>38178.311855500004</v>
      </c>
      <c r="F43" s="28">
        <f t="shared" si="15"/>
        <v>0</v>
      </c>
      <c r="G43" s="28">
        <f t="shared" si="15"/>
        <v>390943.18351200002</v>
      </c>
      <c r="H43" s="28">
        <f t="shared" si="15"/>
        <v>323763.39809339994</v>
      </c>
      <c r="I43" s="28">
        <f t="shared" si="15"/>
        <v>337247.43185549998</v>
      </c>
      <c r="J43" s="29"/>
      <c r="K43" s="21"/>
      <c r="L43"/>
    </row>
    <row r="44" spans="1:12" s="20" customFormat="1">
      <c r="A44" s="26" t="s">
        <v>9</v>
      </c>
      <c r="B44" s="28">
        <f>B12-B28</f>
        <v>88.5321888</v>
      </c>
      <c r="C44" s="28">
        <f t="shared" si="15"/>
        <v>640.54</v>
      </c>
      <c r="D44" s="28">
        <f>D12-D28</f>
        <v>640.54005890000008</v>
      </c>
      <c r="E44" s="28">
        <f>E12-E28</f>
        <v>742.57787380000002</v>
      </c>
      <c r="F44" s="28">
        <f t="shared" si="15"/>
        <v>0</v>
      </c>
      <c r="G44" s="28">
        <f t="shared" si="15"/>
        <v>10373.562509699999</v>
      </c>
      <c r="H44" s="28">
        <f t="shared" si="15"/>
        <v>8529.0700589000007</v>
      </c>
      <c r="I44" s="28">
        <f t="shared" si="15"/>
        <v>7837.9278738000012</v>
      </c>
      <c r="J44" s="29"/>
      <c r="K44" s="21"/>
      <c r="L44"/>
    </row>
    <row r="45" spans="1:12" s="20" customFormat="1">
      <c r="A45" s="27" t="s">
        <v>67</v>
      </c>
      <c r="B45" s="88">
        <f>SUM(B43:B44)</f>
        <v>2603.3268424999997</v>
      </c>
      <c r="C45" s="88">
        <f t="shared" ref="C45:I45" si="16">SUM(C43:C44)</f>
        <v>31990.93</v>
      </c>
      <c r="D45" s="88">
        <f t="shared" si="16"/>
        <v>31990.928152299995</v>
      </c>
      <c r="E45" s="88">
        <f t="shared" si="16"/>
        <v>38920.889729300005</v>
      </c>
      <c r="F45" s="23">
        <f>E45/D45-1</f>
        <v>0.21662271078877016</v>
      </c>
      <c r="G45" s="88">
        <f t="shared" si="16"/>
        <v>401316.74602170003</v>
      </c>
      <c r="H45" s="88">
        <f t="shared" si="16"/>
        <v>332292.46815229993</v>
      </c>
      <c r="I45" s="88">
        <f t="shared" si="16"/>
        <v>345085.35972929996</v>
      </c>
      <c r="J45" s="23">
        <f>I45/H45-1</f>
        <v>3.8498891197066287E-2</v>
      </c>
      <c r="K45" s="21"/>
      <c r="L45"/>
    </row>
    <row r="46" spans="1:12">
      <c r="A46" s="4" t="s">
        <v>16</v>
      </c>
      <c r="B46" s="4"/>
      <c r="C46" s="4"/>
      <c r="D46" s="4"/>
      <c r="E46" s="4"/>
      <c r="F46" s="4"/>
      <c r="G46" s="4"/>
      <c r="H46" s="4"/>
      <c r="I46" s="4"/>
      <c r="J46" s="4"/>
    </row>
    <row r="47" spans="1:12" ht="15.6">
      <c r="A47" s="49" t="s">
        <v>6</v>
      </c>
      <c r="B47" s="57">
        <f t="shared" ref="B47:E48" si="17">B37</f>
        <v>141.47519999999997</v>
      </c>
      <c r="C47" s="57">
        <f t="shared" si="17"/>
        <v>30078.267199999998</v>
      </c>
      <c r="D47" s="57">
        <f t="shared" si="17"/>
        <v>30078.27</v>
      </c>
      <c r="E47" s="57">
        <f t="shared" si="17"/>
        <v>32459.949999999997</v>
      </c>
      <c r="F47" s="57"/>
      <c r="G47" s="57">
        <f t="shared" ref="G47:I48" si="18">G37</f>
        <v>345403.78</v>
      </c>
      <c r="H47" s="57">
        <f t="shared" si="18"/>
        <v>284711.84999999998</v>
      </c>
      <c r="I47" s="57">
        <f t="shared" si="18"/>
        <v>312160.65000000002</v>
      </c>
      <c r="J47" s="52"/>
    </row>
    <row r="48" spans="1:12" ht="15.6">
      <c r="A48" s="49" t="s">
        <v>7</v>
      </c>
      <c r="B48" s="57">
        <f t="shared" si="17"/>
        <v>184.36949999999996</v>
      </c>
      <c r="C48" s="57">
        <f t="shared" si="17"/>
        <v>37530.714900000006</v>
      </c>
      <c r="D48" s="57">
        <f t="shared" si="17"/>
        <v>37530.71</v>
      </c>
      <c r="E48" s="57">
        <f t="shared" si="17"/>
        <v>40172.01</v>
      </c>
      <c r="F48" s="52"/>
      <c r="G48" s="57">
        <f t="shared" si="18"/>
        <v>433653.44</v>
      </c>
      <c r="H48" s="57">
        <f t="shared" si="18"/>
        <v>357271.66000000003</v>
      </c>
      <c r="I48" s="57">
        <f t="shared" si="18"/>
        <v>386958.01999999996</v>
      </c>
      <c r="J48" s="52"/>
    </row>
    <row r="49" spans="1:10" ht="15.6">
      <c r="A49" s="49" t="s">
        <v>8</v>
      </c>
      <c r="B49" s="89">
        <f t="shared" ref="B49:E50" si="19">B39+B43</f>
        <v>2469.6676536999998</v>
      </c>
      <c r="C49" s="89">
        <f t="shared" si="19"/>
        <v>75600.7929</v>
      </c>
      <c r="D49" s="89">
        <f t="shared" si="19"/>
        <v>75600.788093399999</v>
      </c>
      <c r="E49" s="89">
        <f t="shared" si="19"/>
        <v>86011.991855500004</v>
      </c>
      <c r="F49" s="52"/>
      <c r="G49" s="89">
        <f t="shared" ref="G49:I50" si="20">G39+G43</f>
        <v>881240.84351200005</v>
      </c>
      <c r="H49" s="89">
        <f t="shared" si="20"/>
        <v>729530.76809339994</v>
      </c>
      <c r="I49" s="89">
        <f t="shared" si="20"/>
        <v>794398.04185549996</v>
      </c>
      <c r="J49" s="52"/>
    </row>
    <row r="50" spans="1:10" ht="15.6">
      <c r="A50" s="49" t="s">
        <v>9</v>
      </c>
      <c r="B50" s="89">
        <f t="shared" si="19"/>
        <v>72.577888799999997</v>
      </c>
      <c r="C50" s="89">
        <f t="shared" si="19"/>
        <v>11641.2163</v>
      </c>
      <c r="D50" s="89">
        <f t="shared" si="19"/>
        <v>11641.2200589</v>
      </c>
      <c r="E50" s="89">
        <f t="shared" si="19"/>
        <v>13009.197873800002</v>
      </c>
      <c r="F50" s="52"/>
      <c r="G50" s="89">
        <f t="shared" si="20"/>
        <v>140672.53250969999</v>
      </c>
      <c r="H50" s="89">
        <f t="shared" si="20"/>
        <v>116308.31005890001</v>
      </c>
      <c r="I50" s="89">
        <f t="shared" si="20"/>
        <v>123174.99787380001</v>
      </c>
      <c r="J50" s="52" t="s">
        <v>12</v>
      </c>
    </row>
    <row r="51" spans="1:10" ht="15.6">
      <c r="A51" s="18" t="s">
        <v>25</v>
      </c>
      <c r="B51" s="96">
        <f>SUM(B47:B50)</f>
        <v>2868.0902424999999</v>
      </c>
      <c r="C51" s="87">
        <f t="shared" ref="C51:I51" si="21">SUM(C47:C50)</f>
        <v>154850.99130000002</v>
      </c>
      <c r="D51" s="87">
        <f>SUM(D47:D50)</f>
        <v>154850.98815230001</v>
      </c>
      <c r="E51" s="87">
        <f>SUM(E47:E50)</f>
        <v>171653.1497293</v>
      </c>
      <c r="F51" s="19">
        <f>E51/D51-1</f>
        <v>0.10850535587460786</v>
      </c>
      <c r="G51" s="87">
        <f t="shared" ref="G51:H51" si="22">SUM(G47:G50)</f>
        <v>1800970.5960217</v>
      </c>
      <c r="H51" s="87">
        <f t="shared" si="22"/>
        <v>1487822.5881522999</v>
      </c>
      <c r="I51" s="87">
        <f t="shared" si="21"/>
        <v>1616691.7097293001</v>
      </c>
      <c r="J51" s="19">
        <f>I51/H51-1</f>
        <v>8.6615919534492658E-2</v>
      </c>
    </row>
    <row r="54" spans="1:10" ht="18">
      <c r="A54" s="170" t="s">
        <v>85</v>
      </c>
      <c r="B54" s="170"/>
      <c r="C54" s="170"/>
      <c r="D54" s="170"/>
    </row>
    <row r="55" spans="1:10">
      <c r="A55" s="171" t="s">
        <v>86</v>
      </c>
      <c r="B55" s="171"/>
      <c r="C55" s="171"/>
      <c r="D55" s="171"/>
    </row>
    <row r="56" spans="1:10">
      <c r="A56" s="99" t="s">
        <v>86</v>
      </c>
      <c r="B56" s="172" t="s">
        <v>87</v>
      </c>
      <c r="C56" s="172"/>
      <c r="D56" s="172"/>
    </row>
    <row r="57" spans="1:10">
      <c r="A57" s="169" t="s">
        <v>88</v>
      </c>
      <c r="B57" s="100" t="s">
        <v>8</v>
      </c>
      <c r="C57" s="100" t="s">
        <v>89</v>
      </c>
      <c r="D57" s="169" t="s">
        <v>90</v>
      </c>
    </row>
    <row r="58" spans="1:10">
      <c r="A58" s="169"/>
      <c r="B58" s="100" t="s">
        <v>91</v>
      </c>
      <c r="C58" s="100" t="s">
        <v>91</v>
      </c>
      <c r="D58" s="169"/>
    </row>
    <row r="59" spans="1:10">
      <c r="A59" s="101" t="s">
        <v>92</v>
      </c>
      <c r="B59" s="102">
        <v>32.548530700000001</v>
      </c>
      <c r="C59" s="102">
        <v>1.4649499999999999E-2</v>
      </c>
      <c r="D59" s="5">
        <f>B59+C59</f>
        <v>32.563180199999998</v>
      </c>
    </row>
    <row r="60" spans="1:10">
      <c r="A60" s="101" t="s">
        <v>93</v>
      </c>
      <c r="B60" s="102">
        <v>31.583274499999998</v>
      </c>
      <c r="C60" s="102">
        <v>0</v>
      </c>
      <c r="D60" s="5">
        <f t="shared" ref="D60:D66" si="23">B60+C60</f>
        <v>31.583274499999998</v>
      </c>
    </row>
    <row r="61" spans="1:10">
      <c r="A61" s="101" t="s">
        <v>94</v>
      </c>
      <c r="B61" s="102">
        <v>6.16663E-2</v>
      </c>
      <c r="C61" s="102">
        <v>0</v>
      </c>
      <c r="D61" s="5">
        <f t="shared" si="23"/>
        <v>6.16663E-2</v>
      </c>
    </row>
    <row r="62" spans="1:10">
      <c r="A62" s="101" t="s">
        <v>95</v>
      </c>
      <c r="B62" s="102">
        <v>0</v>
      </c>
      <c r="C62" s="102">
        <v>0</v>
      </c>
      <c r="D62" s="5">
        <f t="shared" si="23"/>
        <v>0</v>
      </c>
    </row>
    <row r="63" spans="1:10">
      <c r="A63" s="101" t="s">
        <v>96</v>
      </c>
      <c r="B63" s="102">
        <v>3.7729677000000006</v>
      </c>
      <c r="C63" s="102">
        <v>0.04</v>
      </c>
      <c r="D63" s="5">
        <f t="shared" si="23"/>
        <v>3.8129677000000006</v>
      </c>
    </row>
    <row r="64" spans="1:10">
      <c r="A64" s="101" t="s">
        <v>97</v>
      </c>
      <c r="B64" s="102">
        <v>7.0492600000000002E-2</v>
      </c>
      <c r="C64" s="102">
        <v>0</v>
      </c>
      <c r="D64" s="5">
        <f t="shared" si="23"/>
        <v>7.0492600000000002E-2</v>
      </c>
    </row>
    <row r="65" spans="1:4" ht="28.8">
      <c r="A65" s="101" t="s">
        <v>98</v>
      </c>
      <c r="B65" s="102" t="s">
        <v>86</v>
      </c>
      <c r="C65" s="102" t="s">
        <v>86</v>
      </c>
      <c r="D65" s="5"/>
    </row>
    <row r="66" spans="1:4">
      <c r="A66" s="103" t="s">
        <v>90</v>
      </c>
      <c r="B66" s="94">
        <v>68.036931799999991</v>
      </c>
      <c r="C66" s="94">
        <v>5.4649500000000004E-2</v>
      </c>
      <c r="D66" s="5">
        <f t="shared" si="23"/>
        <v>68.091581299999987</v>
      </c>
    </row>
  </sheetData>
  <mergeCells count="8">
    <mergeCell ref="A57:A58"/>
    <mergeCell ref="D57:D58"/>
    <mergeCell ref="A1:J1"/>
    <mergeCell ref="C2:F2"/>
    <mergeCell ref="G2:J2"/>
    <mergeCell ref="A54:D54"/>
    <mergeCell ref="A55:D55"/>
    <mergeCell ref="B56:D56"/>
  </mergeCells>
  <pageMargins left="0.45" right="0.45" top="0.75" bottom="0.75" header="0.3" footer="0.3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D18-AE1C-49A7-BE7C-CA674F9D3B41}">
  <sheetPr>
    <pageSetUpPr fitToPage="1"/>
  </sheetPr>
  <dimension ref="A1:I52"/>
  <sheetViews>
    <sheetView zoomScale="96" zoomScaleNormal="96" workbookViewId="0">
      <pane ySplit="4" topLeftCell="A5" activePane="bottomLeft" state="frozen"/>
      <selection pane="bottomLeft" sqref="A1:G1"/>
    </sheetView>
  </sheetViews>
  <sheetFormatPr defaultColWidth="8.77734375" defaultRowHeight="14.4" outlineLevelRow="1"/>
  <cols>
    <col min="1" max="1" width="37.77734375" customWidth="1"/>
    <col min="2" max="7" width="14.44140625" customWidth="1"/>
    <col min="8" max="8" width="19" bestFit="1" customWidth="1"/>
    <col min="9" max="9" width="10.33203125" bestFit="1" customWidth="1"/>
    <col min="11" max="11" width="10.6640625" bestFit="1" customWidth="1"/>
  </cols>
  <sheetData>
    <row r="1" spans="1:9" ht="15.6">
      <c r="A1" s="168" t="s">
        <v>99</v>
      </c>
      <c r="B1" s="166"/>
      <c r="C1" s="166"/>
      <c r="D1" s="166"/>
      <c r="E1" s="166"/>
      <c r="F1" s="166"/>
      <c r="G1" s="167"/>
    </row>
    <row r="2" spans="1:9" ht="15.6">
      <c r="A2" s="1"/>
      <c r="B2" s="163" t="s">
        <v>0</v>
      </c>
      <c r="C2" s="163"/>
      <c r="D2" s="163"/>
      <c r="E2" s="163" t="s">
        <v>100</v>
      </c>
      <c r="F2" s="163"/>
      <c r="G2" s="163"/>
    </row>
    <row r="3" spans="1:9" ht="15.6">
      <c r="A3" s="2" t="s">
        <v>1</v>
      </c>
      <c r="B3" s="32">
        <v>45323</v>
      </c>
      <c r="C3" s="32">
        <v>45689</v>
      </c>
      <c r="D3" s="2" t="s">
        <v>2</v>
      </c>
      <c r="E3" s="32">
        <v>45323</v>
      </c>
      <c r="F3" s="32">
        <v>45689</v>
      </c>
      <c r="G3" s="2" t="s">
        <v>2</v>
      </c>
    </row>
    <row r="4" spans="1:9" ht="15.6">
      <c r="A4" s="2" t="s">
        <v>3</v>
      </c>
      <c r="B4" s="32" t="s">
        <v>4</v>
      </c>
      <c r="C4" s="3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34">
        <v>31785.269</v>
      </c>
      <c r="C6" s="34">
        <v>35204.400000000001</v>
      </c>
      <c r="D6" s="104"/>
      <c r="E6" s="34">
        <v>341178.49</v>
      </c>
      <c r="F6" s="34">
        <v>375631.28</v>
      </c>
      <c r="G6" s="80"/>
      <c r="H6" s="13"/>
    </row>
    <row r="7" spans="1:9" outlineLevel="1">
      <c r="A7" s="10" t="s">
        <v>7</v>
      </c>
      <c r="B7" s="34">
        <v>39615.442000000003</v>
      </c>
      <c r="C7" s="34">
        <v>43704.03</v>
      </c>
      <c r="D7" s="104"/>
      <c r="E7" s="34">
        <v>427448.95</v>
      </c>
      <c r="F7" s="34">
        <v>466556.71</v>
      </c>
      <c r="G7" s="80"/>
    </row>
    <row r="8" spans="1:9" outlineLevel="1">
      <c r="A8" s="10" t="s">
        <v>8</v>
      </c>
      <c r="B8" s="34">
        <v>45504.836000000003</v>
      </c>
      <c r="C8" s="34">
        <v>50048.84</v>
      </c>
      <c r="D8" s="104"/>
      <c r="E8" s="34">
        <v>496079.12190000003</v>
      </c>
      <c r="F8" s="34">
        <v>553510.56999999995</v>
      </c>
      <c r="G8" s="80"/>
      <c r="H8" s="13"/>
    </row>
    <row r="9" spans="1:9" outlineLevel="1">
      <c r="A9" s="10" t="s">
        <v>9</v>
      </c>
      <c r="B9" s="34">
        <v>11854.3493</v>
      </c>
      <c r="C9" s="34">
        <v>12987.41</v>
      </c>
      <c r="D9" s="104"/>
      <c r="E9" s="34">
        <v>121375.9823</v>
      </c>
      <c r="F9" s="34">
        <v>130775.85</v>
      </c>
      <c r="G9" s="80"/>
    </row>
    <row r="10" spans="1:9">
      <c r="A10" s="14" t="s">
        <v>20</v>
      </c>
      <c r="B10" s="35">
        <v>128759.89630000002</v>
      </c>
      <c r="C10" s="35">
        <v>141944.68</v>
      </c>
      <c r="D10" s="61">
        <v>0.10239821620608103</v>
      </c>
      <c r="E10" s="73">
        <v>1386082.5442000001</v>
      </c>
      <c r="F10" s="73">
        <v>1526474.4100000001</v>
      </c>
      <c r="G10" s="61">
        <v>0.1012868002612568</v>
      </c>
    </row>
    <row r="11" spans="1:9" ht="12.45" customHeight="1" collapsed="1">
      <c r="A11" s="4" t="s">
        <v>14</v>
      </c>
      <c r="B11" s="34"/>
      <c r="C11" s="34"/>
      <c r="D11" s="104"/>
      <c r="E11" s="34"/>
      <c r="F11" s="34"/>
      <c r="G11" s="61"/>
    </row>
    <row r="12" spans="1:9" outlineLevel="1">
      <c r="A12" s="10" t="s">
        <v>8</v>
      </c>
      <c r="B12" s="34">
        <v>38593.370000000003</v>
      </c>
      <c r="C12" s="34">
        <v>40821.371165529999</v>
      </c>
      <c r="D12" s="104"/>
      <c r="E12" s="34">
        <v>442763.93999999994</v>
      </c>
      <c r="F12" s="34">
        <v>475971.25116553</v>
      </c>
      <c r="G12" s="80"/>
      <c r="I12" s="22"/>
    </row>
    <row r="13" spans="1:9" outlineLevel="1">
      <c r="A13" s="10" t="s">
        <v>9</v>
      </c>
      <c r="B13" s="34">
        <v>984.19</v>
      </c>
      <c r="C13" s="34">
        <v>880.34540179999999</v>
      </c>
      <c r="D13" s="104"/>
      <c r="E13" s="34">
        <v>10919.1</v>
      </c>
      <c r="F13" s="34">
        <v>10274.175401800001</v>
      </c>
      <c r="G13" s="80"/>
      <c r="I13" s="22"/>
    </row>
    <row r="14" spans="1:9">
      <c r="A14" s="14" t="s">
        <v>21</v>
      </c>
      <c r="B14" s="35">
        <v>39577.560000000005</v>
      </c>
      <c r="C14" s="35">
        <v>41701.716567329997</v>
      </c>
      <c r="D14" s="61">
        <v>5.3670730770921438E-2</v>
      </c>
      <c r="E14" s="35">
        <v>453683.03999999992</v>
      </c>
      <c r="F14" s="35">
        <v>486245.42656733003</v>
      </c>
      <c r="G14" s="63">
        <v>7.1773427032516102E-2</v>
      </c>
      <c r="I14" s="22"/>
    </row>
    <row r="15" spans="1:9">
      <c r="A15" s="4" t="s">
        <v>17</v>
      </c>
      <c r="B15" s="105"/>
      <c r="C15" s="106"/>
      <c r="D15" s="61"/>
      <c r="E15" s="35"/>
      <c r="F15" s="35"/>
      <c r="G15" s="61"/>
    </row>
    <row r="16" spans="1:9" ht="15.6">
      <c r="A16" s="49" t="s">
        <v>6</v>
      </c>
      <c r="B16" s="75">
        <v>31785.269</v>
      </c>
      <c r="C16" s="65">
        <v>35204.400000000001</v>
      </c>
      <c r="D16" s="76"/>
      <c r="E16" s="65">
        <v>341178.49</v>
      </c>
      <c r="F16" s="65">
        <v>375631.28</v>
      </c>
      <c r="G16" s="76"/>
    </row>
    <row r="17" spans="1:9" ht="15.6">
      <c r="A17" s="49" t="s">
        <v>7</v>
      </c>
      <c r="B17" s="75">
        <v>39615.442000000003</v>
      </c>
      <c r="C17" s="65">
        <v>43704.03</v>
      </c>
      <c r="D17" s="76"/>
      <c r="E17" s="65">
        <v>427448.95</v>
      </c>
      <c r="F17" s="65">
        <v>466556.71</v>
      </c>
      <c r="G17" s="76"/>
    </row>
    <row r="18" spans="1:9" ht="15.6">
      <c r="A18" s="49" t="s">
        <v>8</v>
      </c>
      <c r="B18" s="75">
        <v>84098.206000000006</v>
      </c>
      <c r="C18" s="65">
        <v>90870.211165529996</v>
      </c>
      <c r="D18" s="76"/>
      <c r="E18" s="65">
        <v>938843.06189999997</v>
      </c>
      <c r="F18" s="65">
        <v>1029481.82116553</v>
      </c>
      <c r="G18" s="76"/>
    </row>
    <row r="19" spans="1:9" ht="15.6">
      <c r="A19" s="49" t="s">
        <v>9</v>
      </c>
      <c r="B19" s="75">
        <v>12838.5393</v>
      </c>
      <c r="C19" s="65">
        <v>13867.755401799999</v>
      </c>
      <c r="D19" s="76"/>
      <c r="E19" s="65">
        <v>132295.08230000001</v>
      </c>
      <c r="F19" s="65">
        <v>141050.0254018</v>
      </c>
      <c r="G19" s="76"/>
    </row>
    <row r="20" spans="1:9" ht="15.6">
      <c r="A20" s="18" t="s">
        <v>22</v>
      </c>
      <c r="B20" s="40">
        <v>168337.45630000002</v>
      </c>
      <c r="C20" s="40">
        <v>183646.39656733</v>
      </c>
      <c r="D20" s="66">
        <v>9.0941972177881691E-2</v>
      </c>
      <c r="E20" s="40">
        <v>1839765.5841999999</v>
      </c>
      <c r="F20" s="40">
        <v>2012719.8365673299</v>
      </c>
      <c r="G20" s="66">
        <v>9.4008853004246884E-2</v>
      </c>
    </row>
    <row r="21" spans="1:9" s="20" customFormat="1" collapsed="1">
      <c r="A21" s="4" t="s">
        <v>15</v>
      </c>
      <c r="B21" s="77"/>
      <c r="C21" s="34"/>
      <c r="D21" s="107"/>
      <c r="E21" s="34"/>
      <c r="F21" s="34"/>
      <c r="G21" s="104"/>
    </row>
    <row r="22" spans="1:9" s="20" customFormat="1" outlineLevel="1">
      <c r="A22" s="10" t="s">
        <v>6</v>
      </c>
      <c r="B22" s="34">
        <v>2248.1099999999997</v>
      </c>
      <c r="C22" s="34">
        <v>2606.92</v>
      </c>
      <c r="D22" s="104"/>
      <c r="E22" s="34">
        <v>26929.43</v>
      </c>
      <c r="F22" s="34">
        <v>30872.940000000002</v>
      </c>
      <c r="G22" s="80"/>
      <c r="I22" s="81"/>
    </row>
    <row r="23" spans="1:9" s="20" customFormat="1" outlineLevel="1">
      <c r="A23" s="10" t="s">
        <v>7</v>
      </c>
      <c r="B23" s="34">
        <v>2866.65</v>
      </c>
      <c r="C23" s="34">
        <v>3082.63</v>
      </c>
      <c r="D23" s="104"/>
      <c r="E23" s="34">
        <v>33428.51</v>
      </c>
      <c r="F23" s="34">
        <v>38976.94</v>
      </c>
      <c r="G23" s="80"/>
      <c r="I23" s="81"/>
    </row>
    <row r="24" spans="1:9" s="20" customFormat="1" outlineLevel="1">
      <c r="A24" s="10" t="s">
        <v>8</v>
      </c>
      <c r="B24" s="34">
        <v>3310.76</v>
      </c>
      <c r="C24" s="34">
        <v>4807.83</v>
      </c>
      <c r="D24" s="104"/>
      <c r="E24" s="34">
        <v>48117.66</v>
      </c>
      <c r="F24" s="34">
        <v>51062.92</v>
      </c>
      <c r="G24" s="80"/>
      <c r="I24" s="81"/>
    </row>
    <row r="25" spans="1:9" s="20" customFormat="1" outlineLevel="1">
      <c r="A25" s="10" t="s">
        <v>9</v>
      </c>
      <c r="B25" s="34">
        <v>296.34000000000003</v>
      </c>
      <c r="C25" s="34">
        <v>268.88</v>
      </c>
      <c r="D25" s="104"/>
      <c r="E25" s="34">
        <v>2038.7399999999998</v>
      </c>
      <c r="F25" s="34">
        <v>2720.26</v>
      </c>
      <c r="G25" s="80"/>
      <c r="I25" s="81"/>
    </row>
    <row r="26" spans="1:9" s="20" customFormat="1">
      <c r="A26" s="14" t="s">
        <v>10</v>
      </c>
      <c r="B26" s="78">
        <v>8721.86</v>
      </c>
      <c r="C26" s="35">
        <v>10766.26</v>
      </c>
      <c r="D26" s="63">
        <v>0.2343995432166992</v>
      </c>
      <c r="E26" s="35">
        <v>110514.34000000001</v>
      </c>
      <c r="F26" s="35">
        <v>123633.06</v>
      </c>
      <c r="G26" s="63">
        <v>0.11870604303477705</v>
      </c>
      <c r="I26" s="81"/>
    </row>
    <row r="27" spans="1:9" s="20" customFormat="1" collapsed="1">
      <c r="A27" s="4" t="s">
        <v>65</v>
      </c>
      <c r="B27" s="34"/>
      <c r="C27" s="34"/>
      <c r="D27" s="104"/>
      <c r="E27" s="34"/>
      <c r="F27" s="35"/>
      <c r="G27" s="104"/>
    </row>
    <row r="28" spans="1:9" s="20" customFormat="1" outlineLevel="1">
      <c r="A28" s="10" t="s">
        <v>8</v>
      </c>
      <c r="B28" s="34">
        <v>8991.39</v>
      </c>
      <c r="C28" s="34">
        <v>10004.941369</v>
      </c>
      <c r="D28" s="104"/>
      <c r="E28" s="34">
        <v>89398.56</v>
      </c>
      <c r="F28" s="34">
        <v>107907.39136900002</v>
      </c>
      <c r="G28" s="80"/>
      <c r="H28" s="21"/>
      <c r="I28" s="81"/>
    </row>
    <row r="29" spans="1:9" s="20" customFormat="1" outlineLevel="1">
      <c r="A29" s="10" t="s">
        <v>9</v>
      </c>
      <c r="B29" s="34">
        <v>96.46</v>
      </c>
      <c r="C29" s="34">
        <v>117.5632268</v>
      </c>
      <c r="D29" s="104"/>
      <c r="E29" s="34">
        <v>1502.3</v>
      </c>
      <c r="F29" s="34">
        <v>1673.4632268</v>
      </c>
      <c r="G29" s="80"/>
      <c r="H29" s="21"/>
      <c r="I29" s="81"/>
    </row>
    <row r="30" spans="1:9" s="20" customFormat="1">
      <c r="A30" s="14" t="s">
        <v>11</v>
      </c>
      <c r="B30" s="35">
        <v>9087.8499999999985</v>
      </c>
      <c r="C30" s="35">
        <v>10122.504595800001</v>
      </c>
      <c r="D30" s="63">
        <v>0.11385031616939134</v>
      </c>
      <c r="E30" s="35">
        <v>90900.86</v>
      </c>
      <c r="F30" s="35">
        <v>109580.85459580002</v>
      </c>
      <c r="G30" s="63">
        <v>0.20549854639219056</v>
      </c>
      <c r="H30" s="21"/>
      <c r="I30" s="81"/>
    </row>
    <row r="31" spans="1:9" s="20" customFormat="1">
      <c r="A31" s="4" t="s">
        <v>18</v>
      </c>
      <c r="B31" s="35"/>
      <c r="C31" s="35"/>
      <c r="D31" s="61"/>
      <c r="E31" s="35"/>
      <c r="F31" s="35"/>
      <c r="G31" s="61"/>
      <c r="H31" s="21"/>
    </row>
    <row r="32" spans="1:9" s="20" customFormat="1">
      <c r="A32" s="25" t="s">
        <v>6</v>
      </c>
      <c r="B32" s="42">
        <v>2248.1099999999997</v>
      </c>
      <c r="C32" s="42">
        <v>2606.92</v>
      </c>
      <c r="D32" s="82"/>
      <c r="E32" s="42">
        <v>26929.43</v>
      </c>
      <c r="F32" s="42">
        <v>30872.940000000002</v>
      </c>
      <c r="G32" s="63"/>
      <c r="H32" s="21"/>
    </row>
    <row r="33" spans="1:8" s="20" customFormat="1">
      <c r="A33" s="26" t="s">
        <v>7</v>
      </c>
      <c r="B33" s="42">
        <v>2866.65</v>
      </c>
      <c r="C33" s="42">
        <v>3082.63</v>
      </c>
      <c r="D33" s="82"/>
      <c r="E33" s="42">
        <v>33428.51</v>
      </c>
      <c r="F33" s="42">
        <v>38976.94</v>
      </c>
      <c r="G33" s="63"/>
      <c r="H33" s="21"/>
    </row>
    <row r="34" spans="1:8" s="20" customFormat="1">
      <c r="A34" s="26" t="s">
        <v>8</v>
      </c>
      <c r="B34" s="42">
        <v>12302.15</v>
      </c>
      <c r="C34" s="42">
        <v>14812.771369</v>
      </c>
      <c r="D34" s="82"/>
      <c r="E34" s="42">
        <v>137516.22</v>
      </c>
      <c r="F34" s="42">
        <v>158970.311369</v>
      </c>
      <c r="G34" s="63"/>
      <c r="H34" s="21"/>
    </row>
    <row r="35" spans="1:8" s="20" customFormat="1">
      <c r="A35" s="26" t="s">
        <v>9</v>
      </c>
      <c r="B35" s="42">
        <v>392.8</v>
      </c>
      <c r="C35" s="42">
        <v>386.44322679999999</v>
      </c>
      <c r="D35" s="82"/>
      <c r="E35" s="42">
        <v>3541.04</v>
      </c>
      <c r="F35" s="42">
        <v>4393.7232268000007</v>
      </c>
      <c r="G35" s="63"/>
      <c r="H35" s="21"/>
    </row>
    <row r="36" spans="1:8" s="20" customFormat="1" ht="15.6">
      <c r="A36" s="30" t="s">
        <v>23</v>
      </c>
      <c r="B36" s="40">
        <v>17809.71</v>
      </c>
      <c r="C36" s="40">
        <v>20888.764595799999</v>
      </c>
      <c r="D36" s="66">
        <v>0.172886284830017</v>
      </c>
      <c r="E36" s="40">
        <v>201415.2</v>
      </c>
      <c r="F36" s="40">
        <v>233213.91459580002</v>
      </c>
      <c r="G36" s="66">
        <v>0.15787643929455175</v>
      </c>
      <c r="H36" s="21"/>
    </row>
    <row r="37" spans="1:8" s="20" customFormat="1">
      <c r="A37" s="4" t="s">
        <v>19</v>
      </c>
      <c r="B37" s="35"/>
      <c r="C37" s="35"/>
      <c r="D37" s="61"/>
      <c r="E37" s="35"/>
      <c r="F37" s="35"/>
      <c r="G37" s="61"/>
      <c r="H37" s="21"/>
    </row>
    <row r="38" spans="1:8" s="20" customFormat="1">
      <c r="A38" s="25" t="s">
        <v>6</v>
      </c>
      <c r="B38" s="42">
        <v>29537.159</v>
      </c>
      <c r="C38" s="42">
        <v>32597.480000000003</v>
      </c>
      <c r="D38" s="82">
        <v>0</v>
      </c>
      <c r="E38" s="42">
        <v>314249.06</v>
      </c>
      <c r="F38" s="42">
        <v>344758.34</v>
      </c>
      <c r="G38" s="82"/>
      <c r="H38" s="21"/>
    </row>
    <row r="39" spans="1:8" s="20" customFormat="1">
      <c r="A39" s="26" t="s">
        <v>7</v>
      </c>
      <c r="B39" s="42">
        <v>36748.792000000001</v>
      </c>
      <c r="C39" s="42">
        <v>40621.4</v>
      </c>
      <c r="D39" s="82">
        <v>0</v>
      </c>
      <c r="E39" s="42">
        <v>394020.44</v>
      </c>
      <c r="F39" s="42">
        <v>427579.77</v>
      </c>
      <c r="G39" s="82"/>
      <c r="H39" s="21"/>
    </row>
    <row r="40" spans="1:8" s="20" customFormat="1">
      <c r="A40" s="26" t="s">
        <v>8</v>
      </c>
      <c r="B40" s="42">
        <v>42194.076000000001</v>
      </c>
      <c r="C40" s="42">
        <v>45241.009999999995</v>
      </c>
      <c r="D40" s="82">
        <v>0</v>
      </c>
      <c r="E40" s="42">
        <v>447961.46189999999</v>
      </c>
      <c r="F40" s="42">
        <v>502447.64999999997</v>
      </c>
      <c r="G40" s="82"/>
      <c r="H40" s="21"/>
    </row>
    <row r="41" spans="1:8" s="20" customFormat="1">
      <c r="A41" s="26" t="s">
        <v>9</v>
      </c>
      <c r="B41" s="42">
        <v>11558.0093</v>
      </c>
      <c r="C41" s="42">
        <v>12718.53</v>
      </c>
      <c r="D41" s="82">
        <v>0</v>
      </c>
      <c r="E41" s="42">
        <v>119337.2423</v>
      </c>
      <c r="F41" s="42">
        <v>128055.59000000001</v>
      </c>
      <c r="G41" s="82"/>
      <c r="H41" s="21"/>
    </row>
    <row r="42" spans="1:8" s="20" customFormat="1">
      <c r="A42" s="27" t="s">
        <v>24</v>
      </c>
      <c r="B42" s="43">
        <v>120038.03630000001</v>
      </c>
      <c r="C42" s="43">
        <v>131178.42000000001</v>
      </c>
      <c r="D42" s="63">
        <v>9.2807113839798783E-2</v>
      </c>
      <c r="E42" s="43">
        <v>1275568.2042</v>
      </c>
      <c r="F42" s="43">
        <v>1402841.35</v>
      </c>
      <c r="G42" s="63">
        <v>9.9777609210494722E-2</v>
      </c>
      <c r="H42" s="21"/>
    </row>
    <row r="43" spans="1:8" s="20" customFormat="1">
      <c r="A43" s="4" t="s">
        <v>66</v>
      </c>
      <c r="B43" s="35"/>
      <c r="C43" s="35"/>
      <c r="D43" s="61"/>
      <c r="E43" s="35"/>
      <c r="F43" s="35"/>
      <c r="G43" s="61"/>
      <c r="H43" s="21"/>
    </row>
    <row r="44" spans="1:8" s="20" customFormat="1">
      <c r="A44" s="26" t="s">
        <v>8</v>
      </c>
      <c r="B44" s="42">
        <v>29601.980000000003</v>
      </c>
      <c r="C44" s="42">
        <v>30816.429796529999</v>
      </c>
      <c r="D44" s="82">
        <v>0</v>
      </c>
      <c r="E44" s="42">
        <v>353365.37999999995</v>
      </c>
      <c r="F44" s="42">
        <v>368063.85979652999</v>
      </c>
      <c r="G44" s="82"/>
      <c r="H44" s="21"/>
    </row>
    <row r="45" spans="1:8" s="20" customFormat="1">
      <c r="A45" s="26" t="s">
        <v>9</v>
      </c>
      <c r="B45" s="42">
        <v>887.73</v>
      </c>
      <c r="C45" s="42">
        <v>762.78217500000005</v>
      </c>
      <c r="D45" s="82">
        <v>0</v>
      </c>
      <c r="E45" s="42">
        <v>9416.8000000000011</v>
      </c>
      <c r="F45" s="42">
        <v>8600.7121750000006</v>
      </c>
      <c r="G45" s="82"/>
      <c r="H45" s="21"/>
    </row>
    <row r="46" spans="1:8" s="20" customFormat="1">
      <c r="A46" s="27" t="s">
        <v>67</v>
      </c>
      <c r="B46" s="43">
        <v>30489.710000000003</v>
      </c>
      <c r="C46" s="43">
        <v>31579.21197153</v>
      </c>
      <c r="D46" s="63">
        <v>3.5733431755500256E-2</v>
      </c>
      <c r="E46" s="43">
        <v>362782.17999999993</v>
      </c>
      <c r="F46" s="43">
        <v>376664.57197152998</v>
      </c>
      <c r="G46" s="63">
        <v>3.8266466041771974E-2</v>
      </c>
      <c r="H46" s="21"/>
    </row>
    <row r="47" spans="1:8">
      <c r="A47" s="4" t="s">
        <v>16</v>
      </c>
      <c r="B47" s="35"/>
      <c r="C47" s="35"/>
      <c r="D47" s="61"/>
      <c r="E47" s="35"/>
      <c r="F47" s="35"/>
      <c r="G47" s="61"/>
    </row>
    <row r="48" spans="1:8" ht="15.6">
      <c r="A48" s="49" t="s">
        <v>6</v>
      </c>
      <c r="B48" s="65">
        <v>29537.159</v>
      </c>
      <c r="C48" s="65">
        <v>32597.480000000003</v>
      </c>
      <c r="D48" s="76"/>
      <c r="E48" s="65">
        <v>314249.06</v>
      </c>
      <c r="F48" s="65">
        <v>344758.34</v>
      </c>
      <c r="G48" s="76"/>
    </row>
    <row r="49" spans="1:7" ht="15.6">
      <c r="A49" s="49" t="s">
        <v>7</v>
      </c>
      <c r="B49" s="65">
        <v>36748.792000000001</v>
      </c>
      <c r="C49" s="65">
        <v>40621.4</v>
      </c>
      <c r="D49" s="76"/>
      <c r="E49" s="65">
        <v>394020.44</v>
      </c>
      <c r="F49" s="65">
        <v>427579.77</v>
      </c>
      <c r="G49" s="76"/>
    </row>
    <row r="50" spans="1:7" ht="15.6">
      <c r="A50" s="49" t="s">
        <v>8</v>
      </c>
      <c r="B50" s="65">
        <v>71796.056000000011</v>
      </c>
      <c r="C50" s="65">
        <v>76057.439796530001</v>
      </c>
      <c r="D50" s="76"/>
      <c r="E50" s="65">
        <v>801326.84189999988</v>
      </c>
      <c r="F50" s="65">
        <v>870511.50979653001</v>
      </c>
      <c r="G50" s="76"/>
    </row>
    <row r="51" spans="1:7" ht="15.6">
      <c r="A51" s="49" t="s">
        <v>9</v>
      </c>
      <c r="B51" s="65">
        <v>12445.739299999999</v>
      </c>
      <c r="C51" s="65">
        <v>13481.312175000001</v>
      </c>
      <c r="D51" s="76"/>
      <c r="E51" s="65">
        <v>128754.0423</v>
      </c>
      <c r="F51" s="65">
        <v>136656.30217500002</v>
      </c>
      <c r="G51" s="76" t="s">
        <v>12</v>
      </c>
    </row>
    <row r="52" spans="1:7" ht="15.6">
      <c r="A52" s="18" t="s">
        <v>25</v>
      </c>
      <c r="B52" s="40">
        <v>150527.7463</v>
      </c>
      <c r="C52" s="40">
        <v>162757.63197153001</v>
      </c>
      <c r="D52" s="66">
        <v>8.1246720104052983E-2</v>
      </c>
      <c r="E52" s="40">
        <v>1638350.3842</v>
      </c>
      <c r="F52" s="40">
        <v>1779505.9219715302</v>
      </c>
      <c r="G52" s="66">
        <v>8.6157112137191572E-2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D5B6-A1D8-49B3-B25A-53AA69511D69}">
  <sheetPr>
    <pageSetUpPr fitToPage="1"/>
  </sheetPr>
  <dimension ref="A1:K53"/>
  <sheetViews>
    <sheetView zoomScale="85" zoomScaleNormal="85" workbookViewId="0">
      <pane ySplit="3" topLeftCell="A4" activePane="bottomLeft" state="frozen"/>
      <selection pane="bottomLeft" activeCell="I12" sqref="I12"/>
    </sheetView>
  </sheetViews>
  <sheetFormatPr defaultColWidth="8.77734375" defaultRowHeight="14.4" outlineLevelRow="1"/>
  <cols>
    <col min="1" max="1" width="40.6640625" bestFit="1" customWidth="1"/>
    <col min="2" max="3" width="13.5546875" bestFit="1" customWidth="1"/>
    <col min="4" max="4" width="11.44140625" customWidth="1"/>
    <col min="5" max="6" width="14.88671875" bestFit="1" customWidth="1"/>
    <col min="7" max="7" width="13.21875" customWidth="1"/>
    <col min="9" max="9" width="17.6640625" bestFit="1" customWidth="1"/>
    <col min="10" max="10" width="11.6640625" bestFit="1" customWidth="1"/>
  </cols>
  <sheetData>
    <row r="1" spans="1:11" ht="15.6">
      <c r="A1" s="156" t="s">
        <v>101</v>
      </c>
      <c r="B1" s="157"/>
      <c r="C1" s="157"/>
      <c r="D1" s="157"/>
      <c r="E1" s="157"/>
      <c r="F1" s="157"/>
      <c r="G1" s="158"/>
    </row>
    <row r="2" spans="1:11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11" ht="15.6">
      <c r="A3" s="109" t="s">
        <v>1</v>
      </c>
      <c r="B3" s="110" t="s">
        <v>102</v>
      </c>
      <c r="C3" s="111">
        <v>45717</v>
      </c>
      <c r="D3" s="109" t="s">
        <v>2</v>
      </c>
      <c r="E3" s="111">
        <v>45352</v>
      </c>
      <c r="F3" s="111">
        <v>45717</v>
      </c>
      <c r="G3" s="109" t="s">
        <v>2</v>
      </c>
    </row>
    <row r="4" spans="1:11" ht="15.6">
      <c r="A4" s="109" t="s">
        <v>3</v>
      </c>
      <c r="B4" s="112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4"/>
      <c r="C5" s="7"/>
      <c r="D5" s="6"/>
      <c r="E5" s="6"/>
      <c r="F5" s="8"/>
      <c r="G5" s="9"/>
      <c r="I5" s="22"/>
    </row>
    <row r="6" spans="1:11" outlineLevel="1">
      <c r="A6" s="10" t="s">
        <v>6</v>
      </c>
      <c r="B6" s="11">
        <v>34531.893299999996</v>
      </c>
      <c r="C6" s="11">
        <v>38144.51</v>
      </c>
      <c r="D6" s="11"/>
      <c r="E6" s="11">
        <v>375710.38</v>
      </c>
      <c r="F6" s="11">
        <v>413775.79</v>
      </c>
      <c r="G6" s="12"/>
      <c r="H6" s="13"/>
      <c r="I6" s="22"/>
    </row>
    <row r="7" spans="1:11" outlineLevel="1">
      <c r="A7" s="10" t="s">
        <v>7</v>
      </c>
      <c r="B7" s="11">
        <v>43746.116900000001</v>
      </c>
      <c r="C7" s="11">
        <v>49890.79</v>
      </c>
      <c r="D7" s="11"/>
      <c r="E7" s="11">
        <v>471195.07</v>
      </c>
      <c r="F7" s="11">
        <v>516447.5</v>
      </c>
      <c r="G7" s="12"/>
      <c r="I7" s="22"/>
    </row>
    <row r="8" spans="1:11" outlineLevel="1">
      <c r="A8" s="10" t="s">
        <v>8</v>
      </c>
      <c r="B8" s="11">
        <v>47624.671399999999</v>
      </c>
      <c r="C8" s="11">
        <v>50071</v>
      </c>
      <c r="D8" s="11"/>
      <c r="E8" s="11">
        <v>543703.79</v>
      </c>
      <c r="F8" s="11">
        <v>603581.56999999995</v>
      </c>
      <c r="G8" s="12"/>
      <c r="H8" s="13"/>
      <c r="I8" s="22"/>
    </row>
    <row r="9" spans="1:11" outlineLevel="1">
      <c r="A9" s="10" t="s">
        <v>9</v>
      </c>
      <c r="B9" s="11">
        <v>11263.257099999999</v>
      </c>
      <c r="C9" s="11">
        <v>11115.86</v>
      </c>
      <c r="D9" s="11"/>
      <c r="E9" s="11">
        <v>132639.24</v>
      </c>
      <c r="F9" s="11">
        <v>141891.71</v>
      </c>
      <c r="G9" s="12"/>
      <c r="I9" s="22"/>
    </row>
    <row r="10" spans="1:11">
      <c r="A10" s="14" t="s">
        <v>20</v>
      </c>
      <c r="B10" s="95">
        <v>137165.93869999997</v>
      </c>
      <c r="C10" s="6">
        <v>149222.15999999997</v>
      </c>
      <c r="D10" s="9">
        <v>8.7895143648634377E-2</v>
      </c>
      <c r="E10" s="8">
        <v>1523248.48</v>
      </c>
      <c r="F10" s="8">
        <v>1675696.5699999998</v>
      </c>
      <c r="G10" s="9">
        <v>0.10008090735137309</v>
      </c>
      <c r="I10" s="22"/>
    </row>
    <row r="11" spans="1:11">
      <c r="A11" s="14"/>
      <c r="B11" s="95"/>
      <c r="C11" s="6"/>
      <c r="D11" s="9"/>
      <c r="E11" s="8"/>
      <c r="F11" s="8"/>
      <c r="G11" s="9"/>
      <c r="I11" s="22"/>
    </row>
    <row r="12" spans="1:11" ht="12.4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1" outlineLevel="1">
      <c r="A13" s="10" t="s">
        <v>8</v>
      </c>
      <c r="B13" s="11">
        <v>40322.129999999997</v>
      </c>
      <c r="C13" s="11">
        <v>45782.315858300004</v>
      </c>
      <c r="D13" s="11"/>
      <c r="E13" s="11">
        <v>483086</v>
      </c>
      <c r="F13" s="11">
        <v>521753.56585830002</v>
      </c>
      <c r="G13" s="12"/>
      <c r="I13" s="22"/>
    </row>
    <row r="14" spans="1:11" outlineLevel="1">
      <c r="A14" s="10" t="s">
        <v>9</v>
      </c>
      <c r="B14" s="11">
        <v>995.53</v>
      </c>
      <c r="C14" s="11">
        <v>1136.7045820999999</v>
      </c>
      <c r="D14" s="11"/>
      <c r="E14" s="11">
        <v>11915</v>
      </c>
      <c r="F14" s="11">
        <v>11410.884582100001</v>
      </c>
      <c r="G14" s="12"/>
    </row>
    <row r="15" spans="1:11">
      <c r="A15" s="14" t="s">
        <v>21</v>
      </c>
      <c r="B15" s="6">
        <v>41317.659999999996</v>
      </c>
      <c r="C15" s="6">
        <v>46919.020440400003</v>
      </c>
      <c r="D15" s="9">
        <f>C15/B15-1</f>
        <v>0.13556819143194487</v>
      </c>
      <c r="E15" s="6">
        <v>495001</v>
      </c>
      <c r="F15" s="6">
        <v>533164.45044040005</v>
      </c>
      <c r="G15" s="23">
        <f>F15/E15-1</f>
        <v>7.7097723924598238E-2</v>
      </c>
      <c r="I15" s="48"/>
    </row>
    <row r="16" spans="1:11">
      <c r="A16" s="4" t="s">
        <v>17</v>
      </c>
      <c r="B16" s="4"/>
      <c r="C16" s="4"/>
      <c r="D16" s="9"/>
      <c r="E16" s="4"/>
      <c r="F16" s="4"/>
      <c r="G16" s="9"/>
      <c r="I16" s="22"/>
      <c r="J16" s="113"/>
      <c r="K16" s="22"/>
    </row>
    <row r="17" spans="1:11" ht="15.6">
      <c r="A17" s="49" t="s">
        <v>6</v>
      </c>
      <c r="B17" s="86">
        <v>34531.893299999996</v>
      </c>
      <c r="C17" s="57">
        <v>38144.51</v>
      </c>
      <c r="D17" s="52"/>
      <c r="E17" s="52">
        <v>375710.38</v>
      </c>
      <c r="F17" s="57">
        <v>413775.79</v>
      </c>
      <c r="G17" s="52"/>
      <c r="I17" s="22"/>
    </row>
    <row r="18" spans="1:11" ht="15.6">
      <c r="A18" s="49" t="s">
        <v>7</v>
      </c>
      <c r="B18" s="86">
        <v>43746.116900000001</v>
      </c>
      <c r="C18" s="57">
        <v>49890.79</v>
      </c>
      <c r="D18" s="52"/>
      <c r="E18" s="52">
        <v>471195.07</v>
      </c>
      <c r="F18" s="57">
        <v>516447.5</v>
      </c>
      <c r="G18" s="52"/>
    </row>
    <row r="19" spans="1:11" ht="15.6">
      <c r="A19" s="49" t="s">
        <v>8</v>
      </c>
      <c r="B19" s="86">
        <v>87946.801399999997</v>
      </c>
      <c r="C19" s="57">
        <v>95853.315858300004</v>
      </c>
      <c r="D19" s="52"/>
      <c r="E19" s="52">
        <v>1026789.79</v>
      </c>
      <c r="F19" s="57">
        <v>1125335.1358582999</v>
      </c>
      <c r="G19" s="52"/>
    </row>
    <row r="20" spans="1:11" ht="15.6">
      <c r="A20" s="49" t="s">
        <v>9</v>
      </c>
      <c r="B20" s="86">
        <v>12258.7871</v>
      </c>
      <c r="C20" s="57">
        <v>12252.5645821</v>
      </c>
      <c r="D20" s="52"/>
      <c r="E20" s="52">
        <v>144554.23999999999</v>
      </c>
      <c r="F20" s="57">
        <v>153302.59458209999</v>
      </c>
      <c r="G20" s="52"/>
    </row>
    <row r="21" spans="1:11" ht="15.6">
      <c r="A21" s="18" t="s">
        <v>22</v>
      </c>
      <c r="B21" s="87">
        <v>178483.59869999997</v>
      </c>
      <c r="C21" s="87">
        <v>196141.1804404</v>
      </c>
      <c r="D21" s="19">
        <v>9.8931108742764007E-2</v>
      </c>
      <c r="E21" s="87">
        <v>2018249.48</v>
      </c>
      <c r="F21" s="87">
        <v>2208861.0204404001</v>
      </c>
      <c r="G21" s="19">
        <v>9.4444156018633985E-2</v>
      </c>
    </row>
    <row r="22" spans="1:11" s="20" customFormat="1" collapsed="1">
      <c r="A22" s="4" t="s">
        <v>15</v>
      </c>
      <c r="B22" s="11"/>
      <c r="C22" s="11"/>
      <c r="D22" s="114"/>
      <c r="E22" s="11"/>
      <c r="F22" s="11"/>
      <c r="G22" s="84"/>
      <c r="I22"/>
    </row>
    <row r="23" spans="1:11" s="20" customFormat="1" outlineLevel="1">
      <c r="A23" s="10" t="s">
        <v>6</v>
      </c>
      <c r="B23" s="11">
        <v>2914.75</v>
      </c>
      <c r="C23" s="94">
        <v>2620.65</v>
      </c>
      <c r="D23" s="11"/>
      <c r="E23" s="11">
        <v>30306.6</v>
      </c>
      <c r="F23" s="94">
        <v>33493.14</v>
      </c>
      <c r="G23" s="12"/>
      <c r="I23"/>
    </row>
    <row r="24" spans="1:11" s="20" customFormat="1" outlineLevel="1">
      <c r="A24" s="10" t="s">
        <v>7</v>
      </c>
      <c r="B24" s="11">
        <v>3543.42</v>
      </c>
      <c r="C24" s="94">
        <v>3661.09</v>
      </c>
      <c r="D24" s="11"/>
      <c r="E24" s="11">
        <v>37541.630000000005</v>
      </c>
      <c r="F24" s="94">
        <v>42636.78</v>
      </c>
      <c r="G24" s="12"/>
      <c r="I24"/>
    </row>
    <row r="25" spans="1:11" s="20" customFormat="1" outlineLevel="1">
      <c r="A25" s="10" t="s">
        <v>8</v>
      </c>
      <c r="B25" s="11">
        <v>4477.3499999999995</v>
      </c>
      <c r="C25" s="94">
        <v>5052.2599999999993</v>
      </c>
      <c r="D25" s="11"/>
      <c r="E25" s="11">
        <v>53406.130000000005</v>
      </c>
      <c r="F25" s="94">
        <v>56115.05</v>
      </c>
      <c r="G25" s="12"/>
      <c r="I25" s="54"/>
    </row>
    <row r="26" spans="1:11" s="20" customFormat="1" outlineLevel="1">
      <c r="A26" s="10" t="s">
        <v>9</v>
      </c>
      <c r="B26" s="11">
        <v>277.08000000000004</v>
      </c>
      <c r="C26" s="94">
        <v>192.13</v>
      </c>
      <c r="D26" s="11"/>
      <c r="E26" s="11">
        <v>2340.2700000000004</v>
      </c>
      <c r="F26" s="94">
        <v>2912.38</v>
      </c>
      <c r="G26" s="12"/>
      <c r="I26" s="54"/>
    </row>
    <row r="27" spans="1:11" s="20" customFormat="1">
      <c r="A27" s="14" t="s">
        <v>10</v>
      </c>
      <c r="B27" s="97">
        <v>11212.6</v>
      </c>
      <c r="C27" s="6">
        <v>11526.13</v>
      </c>
      <c r="D27" s="23">
        <v>2.7962292421026325E-2</v>
      </c>
      <c r="E27" s="6">
        <v>123594.63000000002</v>
      </c>
      <c r="F27" s="6">
        <v>135157.35</v>
      </c>
      <c r="G27" s="23">
        <v>9.3553579148220045E-2</v>
      </c>
      <c r="I27" s="21"/>
      <c r="J27" s="81"/>
      <c r="K27" s="81"/>
    </row>
    <row r="28" spans="1:11" s="20" customFormat="1" collapsed="1">
      <c r="A28" s="4" t="s">
        <v>65</v>
      </c>
      <c r="B28" s="11"/>
      <c r="C28" s="11"/>
      <c r="D28" s="84"/>
      <c r="E28" s="4"/>
      <c r="F28" s="4"/>
      <c r="G28" s="5"/>
    </row>
    <row r="29" spans="1:11" s="20" customFormat="1" outlineLevel="1">
      <c r="A29" s="10" t="s">
        <v>8</v>
      </c>
      <c r="B29" s="11">
        <v>2639.57</v>
      </c>
      <c r="C29" s="11">
        <v>8071.1526142000002</v>
      </c>
      <c r="D29" s="11"/>
      <c r="E29" s="11">
        <v>92038.13</v>
      </c>
      <c r="F29" s="11">
        <v>115978.54261420001</v>
      </c>
      <c r="G29" s="12"/>
      <c r="H29" s="21"/>
      <c r="I29" s="54"/>
    </row>
    <row r="30" spans="1:11" s="20" customFormat="1" outlineLevel="1">
      <c r="A30" s="10" t="s">
        <v>9</v>
      </c>
      <c r="B30" s="11">
        <v>39.340000000000003</v>
      </c>
      <c r="C30" s="11">
        <v>17.540685</v>
      </c>
      <c r="D30" s="11"/>
      <c r="E30" s="11">
        <v>1541.6399999999999</v>
      </c>
      <c r="F30" s="11">
        <v>1691.000685</v>
      </c>
      <c r="G30" s="12"/>
      <c r="H30" s="21"/>
      <c r="I30" s="54"/>
    </row>
    <row r="31" spans="1:11" s="20" customFormat="1">
      <c r="A31" s="14" t="s">
        <v>11</v>
      </c>
      <c r="B31" s="6">
        <v>2678.9100000000003</v>
      </c>
      <c r="C31" s="6">
        <v>8088.6932992000002</v>
      </c>
      <c r="D31" s="23">
        <v>2.0193971798977941</v>
      </c>
      <c r="E31" s="6">
        <v>93579.77</v>
      </c>
      <c r="F31" s="6">
        <v>117669.54329920001</v>
      </c>
      <c r="G31" s="23">
        <v>0.25742501076033864</v>
      </c>
      <c r="H31" s="21"/>
      <c r="I31"/>
      <c r="J31" s="81"/>
    </row>
    <row r="32" spans="1:11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2914.75</v>
      </c>
      <c r="C33" s="28">
        <v>2620.65</v>
      </c>
      <c r="D33" s="29"/>
      <c r="E33" s="28">
        <v>30306.6</v>
      </c>
      <c r="F33" s="28">
        <v>33493.14</v>
      </c>
      <c r="G33" s="24"/>
      <c r="H33" s="21"/>
      <c r="I33"/>
    </row>
    <row r="34" spans="1:9" s="20" customFormat="1">
      <c r="A34" s="26" t="s">
        <v>7</v>
      </c>
      <c r="B34" s="28">
        <v>3543.42</v>
      </c>
      <c r="C34" s="28">
        <v>3661.09</v>
      </c>
      <c r="D34" s="29"/>
      <c r="E34" s="28">
        <v>37541.630000000005</v>
      </c>
      <c r="F34" s="28">
        <v>42636.78</v>
      </c>
      <c r="G34" s="24"/>
      <c r="H34" s="21"/>
      <c r="I34"/>
    </row>
    <row r="35" spans="1:9" s="20" customFormat="1">
      <c r="A35" s="26" t="s">
        <v>8</v>
      </c>
      <c r="B35" s="28">
        <v>7116.92</v>
      </c>
      <c r="C35" s="28">
        <v>13123.412614199999</v>
      </c>
      <c r="D35" s="29"/>
      <c r="E35" s="28">
        <v>145444.26</v>
      </c>
      <c r="F35" s="28">
        <v>172093.59261420002</v>
      </c>
      <c r="G35" s="24"/>
      <c r="H35" s="21"/>
      <c r="I35"/>
    </row>
    <row r="36" spans="1:9" s="20" customFormat="1">
      <c r="A36" s="26" t="s">
        <v>9</v>
      </c>
      <c r="B36" s="28">
        <v>316.42000000000007</v>
      </c>
      <c r="C36" s="28">
        <v>209.67068499999999</v>
      </c>
      <c r="D36" s="29"/>
      <c r="E36" s="28">
        <v>3881.9100000000003</v>
      </c>
      <c r="F36" s="28">
        <v>4603.3806850000001</v>
      </c>
      <c r="G36" s="24"/>
      <c r="H36" s="21"/>
      <c r="I36"/>
    </row>
    <row r="37" spans="1:9" s="20" customFormat="1" ht="15.6">
      <c r="A37" s="30" t="s">
        <v>23</v>
      </c>
      <c r="B37" s="96">
        <v>13891.51</v>
      </c>
      <c r="C37" s="96">
        <v>19614.823299200001</v>
      </c>
      <c r="D37" s="31">
        <v>0.41200080475052747</v>
      </c>
      <c r="E37" s="96">
        <v>217174.40000000002</v>
      </c>
      <c r="F37" s="96">
        <v>252826.89329920002</v>
      </c>
      <c r="G37" s="31">
        <v>0.16416526671283527</v>
      </c>
      <c r="H37" s="21"/>
      <c r="I37"/>
    </row>
    <row r="38" spans="1:9" s="20" customFormat="1" ht="16.05" customHeigh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31617.143299999996</v>
      </c>
      <c r="C39" s="28">
        <v>35523.86</v>
      </c>
      <c r="D39" s="28">
        <v>0</v>
      </c>
      <c r="E39" s="28">
        <v>345403.78</v>
      </c>
      <c r="F39" s="28">
        <v>380282.64999999997</v>
      </c>
      <c r="G39" s="29"/>
      <c r="H39" s="21"/>
      <c r="I39"/>
    </row>
    <row r="40" spans="1:9" s="20" customFormat="1">
      <c r="A40" s="26" t="s">
        <v>7</v>
      </c>
      <c r="B40" s="28">
        <v>40202.696900000003</v>
      </c>
      <c r="C40" s="28">
        <v>46229.7</v>
      </c>
      <c r="D40" s="28">
        <v>0</v>
      </c>
      <c r="E40" s="28">
        <v>433653.44</v>
      </c>
      <c r="F40" s="28">
        <v>473810.72</v>
      </c>
      <c r="G40" s="29"/>
      <c r="H40" s="21"/>
      <c r="I40"/>
    </row>
    <row r="41" spans="1:9" s="20" customFormat="1">
      <c r="A41" s="26" t="s">
        <v>8</v>
      </c>
      <c r="B41" s="28">
        <v>43147.321400000001</v>
      </c>
      <c r="C41" s="28">
        <v>45018.74</v>
      </c>
      <c r="D41" s="28">
        <v>0</v>
      </c>
      <c r="E41" s="28">
        <v>490297.66000000003</v>
      </c>
      <c r="F41" s="28">
        <v>547466.5199999999</v>
      </c>
      <c r="G41" s="29"/>
      <c r="H41" s="21"/>
      <c r="I41"/>
    </row>
    <row r="42" spans="1:9" s="20" customFormat="1">
      <c r="A42" s="26" t="s">
        <v>9</v>
      </c>
      <c r="B42" s="28">
        <v>10986.177099999999</v>
      </c>
      <c r="C42" s="28">
        <v>10923.730000000001</v>
      </c>
      <c r="D42" s="28">
        <v>0</v>
      </c>
      <c r="E42" s="28">
        <v>130298.96999999999</v>
      </c>
      <c r="F42" s="28">
        <v>138979.32999999999</v>
      </c>
      <c r="G42" s="29"/>
      <c r="H42" s="21"/>
      <c r="I42"/>
    </row>
    <row r="43" spans="1:9" s="20" customFormat="1">
      <c r="A43" s="27" t="s">
        <v>24</v>
      </c>
      <c r="B43" s="88">
        <v>125953.33870000001</v>
      </c>
      <c r="C43" s="88">
        <v>137696.03</v>
      </c>
      <c r="D43" s="23">
        <v>9.3230477254513389E-2</v>
      </c>
      <c r="E43" s="88">
        <v>1399653.8499999999</v>
      </c>
      <c r="F43" s="88">
        <v>1540539.2199999997</v>
      </c>
      <c r="G43" s="23">
        <v>0.10065729465896145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37682.559999999998</v>
      </c>
      <c r="C45" s="28">
        <v>37711.163244100004</v>
      </c>
      <c r="D45" s="28">
        <v>0</v>
      </c>
      <c r="E45" s="28">
        <v>391047.87</v>
      </c>
      <c r="F45" s="28">
        <v>405775.02324410004</v>
      </c>
      <c r="G45" s="29"/>
      <c r="H45" s="21"/>
      <c r="I45"/>
    </row>
    <row r="46" spans="1:9" s="20" customFormat="1">
      <c r="A46" s="26" t="s">
        <v>9</v>
      </c>
      <c r="B46" s="28">
        <v>956.18999999999994</v>
      </c>
      <c r="C46" s="28">
        <v>1119.1638971</v>
      </c>
      <c r="D46" s="28">
        <v>0</v>
      </c>
      <c r="E46" s="28">
        <v>10373.36</v>
      </c>
      <c r="F46" s="28">
        <v>9719.8838971000005</v>
      </c>
      <c r="G46" s="29"/>
      <c r="H46" s="21"/>
      <c r="I46"/>
    </row>
    <row r="47" spans="1:9" s="20" customFormat="1">
      <c r="A47" s="27" t="s">
        <v>67</v>
      </c>
      <c r="B47" s="88">
        <v>38638.75</v>
      </c>
      <c r="C47" s="88">
        <v>38830.327141200003</v>
      </c>
      <c r="D47" s="23">
        <v>4.9581609446476271E-3</v>
      </c>
      <c r="E47" s="88">
        <v>401421.23</v>
      </c>
      <c r="F47" s="88">
        <v>415494.90714120003</v>
      </c>
      <c r="G47" s="23">
        <v>3.5060396928481286E-2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31617.143299999996</v>
      </c>
      <c r="C49" s="57">
        <v>35523.86</v>
      </c>
      <c r="D49" s="57"/>
      <c r="E49" s="57">
        <v>345403.78</v>
      </c>
      <c r="F49" s="57">
        <v>380282.64999999997</v>
      </c>
      <c r="G49" s="52"/>
    </row>
    <row r="50" spans="1:7" ht="15.6">
      <c r="A50" s="49" t="s">
        <v>7</v>
      </c>
      <c r="B50" s="57">
        <v>40202.696900000003</v>
      </c>
      <c r="C50" s="57">
        <v>46229.7</v>
      </c>
      <c r="D50" s="52"/>
      <c r="E50" s="57">
        <v>433653.44</v>
      </c>
      <c r="F50" s="57">
        <v>473810.72</v>
      </c>
      <c r="G50" s="52"/>
    </row>
    <row r="51" spans="1:7" ht="15.6">
      <c r="A51" s="49" t="s">
        <v>8</v>
      </c>
      <c r="B51" s="89">
        <v>80829.881399999998</v>
      </c>
      <c r="C51" s="89">
        <v>82729.903244100002</v>
      </c>
      <c r="D51" s="52"/>
      <c r="E51" s="89">
        <v>881345.53</v>
      </c>
      <c r="F51" s="89">
        <v>953241.54324409994</v>
      </c>
      <c r="G51" s="52"/>
    </row>
    <row r="52" spans="1:7" ht="15.6">
      <c r="A52" s="49" t="s">
        <v>9</v>
      </c>
      <c r="B52" s="89">
        <v>11942.367099999999</v>
      </c>
      <c r="C52" s="89">
        <v>12042.893897100001</v>
      </c>
      <c r="D52" s="52"/>
      <c r="E52" s="89">
        <v>140672.32999999999</v>
      </c>
      <c r="F52" s="89">
        <v>148699.21389709998</v>
      </c>
      <c r="G52" s="52" t="s">
        <v>12</v>
      </c>
    </row>
    <row r="53" spans="1:7" ht="15.6">
      <c r="A53" s="18" t="s">
        <v>25</v>
      </c>
      <c r="B53" s="87">
        <v>164592.08869999999</v>
      </c>
      <c r="C53" s="87">
        <v>176526.35714119999</v>
      </c>
      <c r="D53" s="19">
        <v>7.2508145082792241E-2</v>
      </c>
      <c r="E53" s="87">
        <v>1801075.08</v>
      </c>
      <c r="F53" s="87">
        <v>1956034.1271411998</v>
      </c>
      <c r="G53" s="19">
        <v>8.6037153405257305E-2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9D72-9295-4074-8D55-B155D1CF1134}">
  <sheetPr>
    <pageSetUpPr fitToPage="1"/>
  </sheetPr>
  <dimension ref="A1:M53"/>
  <sheetViews>
    <sheetView zoomScaleNormal="100" workbookViewId="0">
      <pane ySplit="3" topLeftCell="A4" activePane="bottomLeft" state="frozen"/>
      <selection pane="bottomLeft" activeCell="I32" sqref="I32"/>
    </sheetView>
  </sheetViews>
  <sheetFormatPr defaultColWidth="8.77734375" defaultRowHeight="14.4" outlineLevelRow="1"/>
  <cols>
    <col min="1" max="1" width="34.77734375" bestFit="1" customWidth="1"/>
    <col min="2" max="3" width="10.109375" bestFit="1" customWidth="1"/>
    <col min="4" max="4" width="10.33203125" bestFit="1" customWidth="1"/>
    <col min="5" max="6" width="10.109375" bestFit="1" customWidth="1"/>
    <col min="7" max="7" width="10.33203125" bestFit="1" customWidth="1"/>
    <col min="9" max="9" width="17.6640625" bestFit="1" customWidth="1"/>
    <col min="12" max="12" width="10.6640625" bestFit="1" customWidth="1"/>
  </cols>
  <sheetData>
    <row r="1" spans="1:13" ht="15.6">
      <c r="A1" s="173" t="s">
        <v>103</v>
      </c>
      <c r="B1" s="159"/>
      <c r="C1" s="159"/>
      <c r="D1" s="159"/>
      <c r="E1" s="159"/>
      <c r="F1" s="159"/>
      <c r="G1" s="159"/>
    </row>
    <row r="2" spans="1:13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13" ht="15.6">
      <c r="A3" s="109" t="s">
        <v>1</v>
      </c>
      <c r="B3" s="110" t="s">
        <v>104</v>
      </c>
      <c r="C3" s="111">
        <v>45748</v>
      </c>
      <c r="D3" s="109" t="s">
        <v>2</v>
      </c>
      <c r="E3" s="111">
        <v>45383</v>
      </c>
      <c r="F3" s="111">
        <v>45748</v>
      </c>
      <c r="G3" s="109" t="s">
        <v>2</v>
      </c>
    </row>
    <row r="4" spans="1:13" ht="15.6">
      <c r="A4" s="109" t="s">
        <v>3</v>
      </c>
      <c r="B4" s="110" t="s">
        <v>4</v>
      </c>
      <c r="C4" s="111" t="s">
        <v>27</v>
      </c>
      <c r="D4" s="111" t="s">
        <v>28</v>
      </c>
      <c r="E4" s="111" t="s">
        <v>30</v>
      </c>
      <c r="F4" s="111" t="s">
        <v>5</v>
      </c>
      <c r="G4" s="111" t="s">
        <v>32</v>
      </c>
    </row>
    <row r="5" spans="1:13" collapsed="1">
      <c r="A5" s="4" t="s">
        <v>13</v>
      </c>
      <c r="B5" s="4"/>
      <c r="C5" s="7"/>
      <c r="D5" s="6"/>
      <c r="E5" s="8"/>
      <c r="F5" s="8"/>
      <c r="G5" s="9"/>
      <c r="I5" s="22"/>
      <c r="L5" s="115"/>
    </row>
    <row r="6" spans="1:13" outlineLevel="1">
      <c r="A6" s="10" t="s">
        <v>6</v>
      </c>
      <c r="B6" s="34">
        <v>43845.508700000006</v>
      </c>
      <c r="C6" s="34">
        <v>48633.708682899989</v>
      </c>
      <c r="D6" s="11"/>
      <c r="E6" s="34">
        <v>43845.508700000006</v>
      </c>
      <c r="F6" s="34">
        <v>48633.708682899989</v>
      </c>
      <c r="G6" s="12"/>
      <c r="H6" s="13"/>
      <c r="I6" s="116"/>
      <c r="J6" s="116"/>
      <c r="L6" s="116"/>
      <c r="M6" s="117"/>
    </row>
    <row r="7" spans="1:13" outlineLevel="1">
      <c r="A7" s="10" t="s">
        <v>7</v>
      </c>
      <c r="B7" s="34">
        <v>53538.297599999998</v>
      </c>
      <c r="C7" s="34">
        <v>59372.423683400004</v>
      </c>
      <c r="D7" s="11"/>
      <c r="E7" s="34">
        <v>53538.297599999998</v>
      </c>
      <c r="F7" s="34">
        <v>59372.423683400004</v>
      </c>
      <c r="G7" s="12"/>
      <c r="I7" s="116"/>
      <c r="J7" s="116"/>
      <c r="L7" s="116"/>
      <c r="M7" s="117"/>
    </row>
    <row r="8" spans="1:13" outlineLevel="1">
      <c r="A8" s="10" t="s">
        <v>8</v>
      </c>
      <c r="B8" s="34">
        <v>61796.696100000001</v>
      </c>
      <c r="C8" s="34">
        <v>69504.392578400017</v>
      </c>
      <c r="D8" s="11"/>
      <c r="E8" s="34">
        <v>61796.696100000001</v>
      </c>
      <c r="F8" s="34">
        <v>69504.392578400017</v>
      </c>
      <c r="G8" s="12"/>
      <c r="H8" s="13"/>
      <c r="I8" s="116"/>
      <c r="J8" s="116"/>
      <c r="L8" s="116"/>
      <c r="M8" s="117"/>
    </row>
    <row r="9" spans="1:13" outlineLevel="1">
      <c r="A9" s="10" t="s">
        <v>9</v>
      </c>
      <c r="B9" s="34">
        <v>12252.0409</v>
      </c>
      <c r="C9" s="34">
        <v>12292.8832487</v>
      </c>
      <c r="D9" s="11"/>
      <c r="E9" s="34">
        <v>12252.0409</v>
      </c>
      <c r="F9" s="34">
        <v>12292.8832487</v>
      </c>
      <c r="G9" s="12"/>
      <c r="I9" s="116"/>
      <c r="J9" s="116"/>
      <c r="L9" s="116"/>
      <c r="M9" s="117"/>
    </row>
    <row r="10" spans="1:13">
      <c r="A10" s="14" t="s">
        <v>20</v>
      </c>
      <c r="B10" s="118">
        <v>171432.54329999999</v>
      </c>
      <c r="C10" s="35">
        <v>189803.40819340001</v>
      </c>
      <c r="D10" s="61">
        <v>0.10716089570725051</v>
      </c>
      <c r="E10" s="118">
        <v>171432.54329999999</v>
      </c>
      <c r="F10" s="35">
        <v>189803.40819340001</v>
      </c>
      <c r="G10" s="61">
        <v>0.10716089570725051</v>
      </c>
      <c r="I10" s="116"/>
      <c r="J10" s="116"/>
      <c r="L10" s="116"/>
      <c r="M10" s="117"/>
    </row>
    <row r="11" spans="1:13">
      <c r="A11" s="14"/>
      <c r="B11" s="95"/>
      <c r="C11" s="6"/>
      <c r="D11" s="119"/>
      <c r="E11" s="8"/>
      <c r="F11" s="8"/>
      <c r="G11" s="9"/>
      <c r="I11" s="22"/>
    </row>
    <row r="12" spans="1:13" ht="12.45" customHeight="1" collapsed="1">
      <c r="A12" s="4" t="s">
        <v>14</v>
      </c>
      <c r="B12" s="11"/>
      <c r="C12" s="11"/>
      <c r="D12" s="120"/>
      <c r="E12" s="5"/>
      <c r="F12" s="5"/>
      <c r="G12" s="9"/>
      <c r="I12" s="22"/>
    </row>
    <row r="13" spans="1:13" outlineLevel="1">
      <c r="A13" s="10" t="s">
        <v>8</v>
      </c>
      <c r="B13" s="34">
        <v>37826.5</v>
      </c>
      <c r="C13" s="34">
        <v>45754.488252100004</v>
      </c>
      <c r="D13" s="120"/>
      <c r="E13" s="34">
        <v>37826.5</v>
      </c>
      <c r="F13" s="34">
        <v>45754.488252100004</v>
      </c>
      <c r="G13" s="12"/>
      <c r="I13" s="22"/>
    </row>
    <row r="14" spans="1:13" outlineLevel="1">
      <c r="A14" s="10" t="s">
        <v>9</v>
      </c>
      <c r="B14" s="34">
        <v>1008.02</v>
      </c>
      <c r="C14" s="34">
        <v>1158.5803942</v>
      </c>
      <c r="D14" s="120"/>
      <c r="E14" s="34">
        <v>1008.02</v>
      </c>
      <c r="F14" s="34">
        <v>1158.5803942</v>
      </c>
      <c r="G14" s="12"/>
    </row>
    <row r="15" spans="1:13">
      <c r="A15" s="14" t="s">
        <v>21</v>
      </c>
      <c r="B15" s="35">
        <v>38834.519999999997</v>
      </c>
      <c r="C15" s="35">
        <v>46913.068646300002</v>
      </c>
      <c r="D15" s="61">
        <v>0.20802493879929518</v>
      </c>
      <c r="E15" s="35">
        <v>38834.519999999997</v>
      </c>
      <c r="F15" s="35">
        <v>46913.068646300002</v>
      </c>
      <c r="G15" s="63">
        <v>0.20802493879929518</v>
      </c>
      <c r="I15" s="48"/>
    </row>
    <row r="16" spans="1:13">
      <c r="A16" s="4" t="s">
        <v>17</v>
      </c>
      <c r="B16" s="35"/>
      <c r="C16" s="35"/>
      <c r="D16" s="119"/>
      <c r="E16" s="35"/>
      <c r="F16" s="35"/>
      <c r="G16" s="61"/>
      <c r="I16" s="22"/>
    </row>
    <row r="17" spans="1:9" ht="15.6">
      <c r="A17" s="49" t="s">
        <v>6</v>
      </c>
      <c r="B17" s="75">
        <v>43845.508700000006</v>
      </c>
      <c r="C17" s="65">
        <v>48633.708682899989</v>
      </c>
      <c r="D17" s="121"/>
      <c r="E17" s="65">
        <v>43845.508700000006</v>
      </c>
      <c r="F17" s="65">
        <v>48633.708682899989</v>
      </c>
      <c r="G17" s="76"/>
      <c r="I17" s="22"/>
    </row>
    <row r="18" spans="1:9" ht="15.6">
      <c r="A18" s="49" t="s">
        <v>7</v>
      </c>
      <c r="B18" s="75">
        <v>53538.297599999998</v>
      </c>
      <c r="C18" s="65">
        <v>59372.423683400004</v>
      </c>
      <c r="D18" s="121"/>
      <c r="E18" s="65">
        <v>53538.297599999998</v>
      </c>
      <c r="F18" s="65">
        <v>59372.423683400004</v>
      </c>
      <c r="G18" s="76"/>
    </row>
    <row r="19" spans="1:9" ht="15.6">
      <c r="A19" s="49" t="s">
        <v>8</v>
      </c>
      <c r="B19" s="75">
        <v>99623.196100000001</v>
      </c>
      <c r="C19" s="65">
        <v>115258.88083050001</v>
      </c>
      <c r="D19" s="121"/>
      <c r="E19" s="65">
        <v>99623.196100000001</v>
      </c>
      <c r="F19" s="65">
        <v>115258.88083050001</v>
      </c>
      <c r="G19" s="76"/>
    </row>
    <row r="20" spans="1:9" ht="15.6">
      <c r="A20" s="49" t="s">
        <v>9</v>
      </c>
      <c r="B20" s="75">
        <v>13260.0609</v>
      </c>
      <c r="C20" s="65">
        <v>13451.4636429</v>
      </c>
      <c r="D20" s="121"/>
      <c r="E20" s="65">
        <v>13260.0609</v>
      </c>
      <c r="F20" s="65">
        <v>13451.4636429</v>
      </c>
      <c r="G20" s="76"/>
    </row>
    <row r="21" spans="1:9" ht="15.6">
      <c r="A21" s="18" t="s">
        <v>22</v>
      </c>
      <c r="B21" s="40">
        <v>210267.06330000001</v>
      </c>
      <c r="C21" s="40">
        <v>236716.47683970002</v>
      </c>
      <c r="D21" s="66">
        <v>0.1257896178535729</v>
      </c>
      <c r="E21" s="40">
        <v>210267.06330000001</v>
      </c>
      <c r="F21" s="40">
        <v>236716.47683970002</v>
      </c>
      <c r="G21" s="66">
        <v>0.1257896178535729</v>
      </c>
    </row>
    <row r="22" spans="1:9" s="20" customFormat="1" collapsed="1">
      <c r="A22" s="4" t="s">
        <v>15</v>
      </c>
      <c r="B22" s="34"/>
      <c r="C22" s="34"/>
      <c r="D22" s="122"/>
      <c r="E22" s="34"/>
      <c r="F22" s="34"/>
      <c r="G22" s="104"/>
      <c r="I22"/>
    </row>
    <row r="23" spans="1:9" s="20" customFormat="1" outlineLevel="1">
      <c r="A23" s="10" t="s">
        <v>6</v>
      </c>
      <c r="B23" s="34">
        <v>2714.14</v>
      </c>
      <c r="C23" s="59">
        <v>3232.6099999999997</v>
      </c>
      <c r="D23" s="120"/>
      <c r="E23" s="59">
        <v>2714.14</v>
      </c>
      <c r="F23" s="59">
        <v>3232.6099999999997</v>
      </c>
      <c r="G23" s="80"/>
      <c r="I23"/>
    </row>
    <row r="24" spans="1:9" s="20" customFormat="1" outlineLevel="1">
      <c r="A24" s="10" t="s">
        <v>7</v>
      </c>
      <c r="B24" s="34">
        <v>3272.65</v>
      </c>
      <c r="C24" s="59">
        <v>3847.69</v>
      </c>
      <c r="D24" s="120"/>
      <c r="E24" s="59">
        <v>3272.65</v>
      </c>
      <c r="F24" s="59">
        <v>3847.69</v>
      </c>
      <c r="G24" s="80"/>
      <c r="I24"/>
    </row>
    <row r="25" spans="1:9" s="20" customFormat="1" outlineLevel="1">
      <c r="A25" s="10" t="s">
        <v>8</v>
      </c>
      <c r="B25" s="34">
        <v>4727.22</v>
      </c>
      <c r="C25" s="59">
        <v>5854.37</v>
      </c>
      <c r="D25" s="120"/>
      <c r="E25" s="59">
        <v>4727.22</v>
      </c>
      <c r="F25" s="59">
        <v>5854.37</v>
      </c>
      <c r="G25" s="80"/>
      <c r="I25" s="54"/>
    </row>
    <row r="26" spans="1:9" s="20" customFormat="1" outlineLevel="1">
      <c r="A26" s="10" t="s">
        <v>9</v>
      </c>
      <c r="B26" s="34">
        <v>222.82</v>
      </c>
      <c r="C26" s="59">
        <v>451.13</v>
      </c>
      <c r="D26" s="120"/>
      <c r="E26" s="59">
        <v>222.82</v>
      </c>
      <c r="F26" s="59">
        <v>451.13</v>
      </c>
      <c r="G26" s="80"/>
      <c r="I26" s="54"/>
    </row>
    <row r="27" spans="1:9" s="20" customFormat="1">
      <c r="A27" s="14" t="s">
        <v>10</v>
      </c>
      <c r="B27" s="78">
        <v>10936.83</v>
      </c>
      <c r="C27" s="35">
        <v>13385.799999999997</v>
      </c>
      <c r="D27" s="63">
        <v>0.22391954524299984</v>
      </c>
      <c r="E27" s="35">
        <v>10936.83</v>
      </c>
      <c r="F27" s="35">
        <v>13385.799999999997</v>
      </c>
      <c r="G27" s="63">
        <v>0.22391954524299984</v>
      </c>
      <c r="I27" s="21"/>
    </row>
    <row r="28" spans="1:9" s="20" customFormat="1" collapsed="1">
      <c r="A28" s="4" t="s">
        <v>65</v>
      </c>
      <c r="B28" s="34"/>
      <c r="C28" s="34"/>
      <c r="D28" s="123"/>
      <c r="E28" s="34"/>
      <c r="F28" s="35"/>
      <c r="G28" s="79"/>
    </row>
    <row r="29" spans="1:9" s="20" customFormat="1" outlineLevel="1">
      <c r="A29" s="10" t="s">
        <v>8</v>
      </c>
      <c r="B29" s="34">
        <v>7429.74</v>
      </c>
      <c r="C29" s="34">
        <v>13716.3241179</v>
      </c>
      <c r="D29" s="120"/>
      <c r="E29" s="34">
        <v>7429.7399893000002</v>
      </c>
      <c r="F29" s="34">
        <v>13716.3241179</v>
      </c>
      <c r="G29" s="80"/>
      <c r="H29" s="21"/>
      <c r="I29" s="54"/>
    </row>
    <row r="30" spans="1:9" s="20" customFormat="1" outlineLevel="1">
      <c r="A30" s="10" t="s">
        <v>9</v>
      </c>
      <c r="B30" s="34">
        <v>67.33</v>
      </c>
      <c r="C30" s="34">
        <v>238.44178629999999</v>
      </c>
      <c r="D30" s="120"/>
      <c r="E30" s="34">
        <v>67.333631699999998</v>
      </c>
      <c r="F30" s="34">
        <v>238.44178629999999</v>
      </c>
      <c r="G30" s="80"/>
      <c r="H30" s="21"/>
      <c r="I30" s="54"/>
    </row>
    <row r="31" spans="1:9" s="20" customFormat="1">
      <c r="A31" s="14" t="s">
        <v>11</v>
      </c>
      <c r="B31" s="35">
        <v>7497.07</v>
      </c>
      <c r="C31" s="35">
        <v>13954.7659042</v>
      </c>
      <c r="D31" s="63">
        <v>0.86136172720932103</v>
      </c>
      <c r="E31" s="35">
        <v>7497.0736210000005</v>
      </c>
      <c r="F31" s="35">
        <v>13954.7659042</v>
      </c>
      <c r="G31" s="63">
        <v>0.86136172720932103</v>
      </c>
      <c r="H31" s="21"/>
      <c r="I31"/>
    </row>
    <row r="32" spans="1:9" s="20" customFormat="1">
      <c r="A32" s="4" t="s">
        <v>18</v>
      </c>
      <c r="B32" s="35"/>
      <c r="C32" s="35"/>
      <c r="D32" s="119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2714.14</v>
      </c>
      <c r="C33" s="42">
        <v>3232.6099999999997</v>
      </c>
      <c r="D33" s="124"/>
      <c r="E33" s="42">
        <v>2714.14</v>
      </c>
      <c r="F33" s="42">
        <v>3232.6099999999997</v>
      </c>
      <c r="G33" s="63"/>
      <c r="H33" s="21"/>
      <c r="I33"/>
    </row>
    <row r="34" spans="1:9" s="20" customFormat="1">
      <c r="A34" s="26" t="s">
        <v>7</v>
      </c>
      <c r="B34" s="42">
        <v>3272.65</v>
      </c>
      <c r="C34" s="42">
        <v>3847.69</v>
      </c>
      <c r="D34" s="124"/>
      <c r="E34" s="42">
        <v>3272.65</v>
      </c>
      <c r="F34" s="42">
        <v>3847.69</v>
      </c>
      <c r="G34" s="63"/>
      <c r="H34" s="21"/>
      <c r="I34"/>
    </row>
    <row r="35" spans="1:9" s="20" customFormat="1">
      <c r="A35" s="26" t="s">
        <v>8</v>
      </c>
      <c r="B35" s="42">
        <v>12156.96</v>
      </c>
      <c r="C35" s="42">
        <v>19570.694117899999</v>
      </c>
      <c r="D35" s="124"/>
      <c r="E35" s="42">
        <v>12156.959989300001</v>
      </c>
      <c r="F35" s="42">
        <v>19570.694117899999</v>
      </c>
      <c r="G35" s="63"/>
      <c r="H35" s="21"/>
      <c r="I35"/>
    </row>
    <row r="36" spans="1:9" s="20" customFormat="1">
      <c r="A36" s="26" t="s">
        <v>9</v>
      </c>
      <c r="B36" s="42">
        <v>290.14999999999998</v>
      </c>
      <c r="C36" s="42">
        <v>689.57178629999999</v>
      </c>
      <c r="D36" s="124"/>
      <c r="E36" s="42">
        <v>290.15363170000001</v>
      </c>
      <c r="F36" s="42">
        <v>689.57178629999999</v>
      </c>
      <c r="G36" s="63"/>
      <c r="H36" s="21"/>
      <c r="I36"/>
    </row>
    <row r="37" spans="1:9" s="20" customFormat="1" ht="15.6">
      <c r="A37" s="30" t="s">
        <v>23</v>
      </c>
      <c r="B37" s="40">
        <v>18433.900000000001</v>
      </c>
      <c r="C37" s="40">
        <v>27340.565904199997</v>
      </c>
      <c r="D37" s="70">
        <v>0.48316745418227525</v>
      </c>
      <c r="E37" s="40">
        <v>18433.903621000001</v>
      </c>
      <c r="F37" s="40">
        <v>27340.565904199997</v>
      </c>
      <c r="G37" s="70">
        <v>0.48316745418227525</v>
      </c>
      <c r="H37" s="21"/>
      <c r="I37"/>
    </row>
    <row r="38" spans="1:9" s="20" customFormat="1">
      <c r="A38" s="4" t="s">
        <v>19</v>
      </c>
      <c r="B38" s="35"/>
      <c r="C38" s="35"/>
      <c r="D38" s="119"/>
      <c r="E38" s="35"/>
      <c r="F38" s="35"/>
      <c r="G38" s="61"/>
      <c r="H38" s="21"/>
      <c r="I38"/>
    </row>
    <row r="39" spans="1:9" s="20" customFormat="1">
      <c r="A39" s="25" t="s">
        <v>6</v>
      </c>
      <c r="B39" s="42">
        <v>41131.368700000006</v>
      </c>
      <c r="C39" s="42">
        <v>45401.098682899988</v>
      </c>
      <c r="D39" s="125">
        <v>0</v>
      </c>
      <c r="E39" s="42">
        <v>41131.368700000006</v>
      </c>
      <c r="F39" s="42">
        <v>45401.098682899988</v>
      </c>
      <c r="G39" s="82"/>
      <c r="H39" s="21"/>
      <c r="I39"/>
    </row>
    <row r="40" spans="1:9" s="20" customFormat="1">
      <c r="A40" s="26" t="s">
        <v>7</v>
      </c>
      <c r="B40" s="42">
        <v>50265.647599999997</v>
      </c>
      <c r="C40" s="42">
        <v>55524.733683400002</v>
      </c>
      <c r="D40" s="125">
        <v>0</v>
      </c>
      <c r="E40" s="42">
        <v>50265.647599999997</v>
      </c>
      <c r="F40" s="42">
        <v>55524.733683400002</v>
      </c>
      <c r="G40" s="82"/>
      <c r="H40" s="21"/>
      <c r="I40"/>
    </row>
    <row r="41" spans="1:9" s="20" customFormat="1">
      <c r="A41" s="26" t="s">
        <v>8</v>
      </c>
      <c r="B41" s="42">
        <v>57069.4761</v>
      </c>
      <c r="C41" s="42">
        <v>63650.022578400014</v>
      </c>
      <c r="D41" s="125">
        <v>0</v>
      </c>
      <c r="E41" s="42">
        <v>57069.4761</v>
      </c>
      <c r="F41" s="42">
        <v>63650.022578400014</v>
      </c>
      <c r="G41" s="82"/>
      <c r="H41" s="21"/>
      <c r="I41"/>
    </row>
    <row r="42" spans="1:9" s="20" customFormat="1">
      <c r="A42" s="26" t="s">
        <v>9</v>
      </c>
      <c r="B42" s="42">
        <v>12029.2209</v>
      </c>
      <c r="C42" s="42">
        <v>11841.753248700001</v>
      </c>
      <c r="D42" s="125">
        <v>0</v>
      </c>
      <c r="E42" s="42">
        <v>12029.2209</v>
      </c>
      <c r="F42" s="42">
        <v>11841.753248700001</v>
      </c>
      <c r="G42" s="82"/>
      <c r="H42" s="21"/>
      <c r="I42"/>
    </row>
    <row r="43" spans="1:9" s="20" customFormat="1">
      <c r="A43" s="27" t="s">
        <v>24</v>
      </c>
      <c r="B43" s="43">
        <v>160495.7133</v>
      </c>
      <c r="C43" s="43">
        <v>176417.6081934</v>
      </c>
      <c r="D43" s="63">
        <v>9.9204486936287584E-2</v>
      </c>
      <c r="E43" s="43">
        <v>160495.7133</v>
      </c>
      <c r="F43" s="43">
        <v>176417.6081934</v>
      </c>
      <c r="G43" s="63">
        <v>9.9204486936287584E-2</v>
      </c>
      <c r="H43" s="21"/>
      <c r="I43"/>
    </row>
    <row r="44" spans="1:9" s="20" customFormat="1">
      <c r="A44" s="4" t="s">
        <v>66</v>
      </c>
      <c r="B44" s="35"/>
      <c r="C44" s="35"/>
      <c r="D44" s="119"/>
      <c r="E44" s="35"/>
      <c r="F44" s="35"/>
      <c r="G44" s="61"/>
      <c r="H44" s="21"/>
      <c r="I44"/>
    </row>
    <row r="45" spans="1:9" s="20" customFormat="1">
      <c r="A45" s="26" t="s">
        <v>8</v>
      </c>
      <c r="B45" s="42">
        <v>30396.760000000002</v>
      </c>
      <c r="C45" s="42">
        <v>32038.164134200004</v>
      </c>
      <c r="D45" s="125">
        <v>0</v>
      </c>
      <c r="E45" s="42">
        <v>30396.7600107</v>
      </c>
      <c r="F45" s="42">
        <v>32038.164134200004</v>
      </c>
      <c r="G45" s="82"/>
      <c r="H45" s="21"/>
      <c r="I45"/>
    </row>
    <row r="46" spans="1:9" s="20" customFormat="1">
      <c r="A46" s="26" t="s">
        <v>9</v>
      </c>
      <c r="B46" s="42">
        <v>940.68999999999994</v>
      </c>
      <c r="C46" s="42">
        <v>920.13860790000001</v>
      </c>
      <c r="D46" s="125">
        <v>0</v>
      </c>
      <c r="E46" s="42">
        <v>940.68636830000003</v>
      </c>
      <c r="F46" s="42">
        <v>920.13860790000001</v>
      </c>
      <c r="G46" s="82"/>
      <c r="H46" s="21"/>
      <c r="I46"/>
    </row>
    <row r="47" spans="1:9" s="20" customFormat="1">
      <c r="A47" s="27" t="s">
        <v>67</v>
      </c>
      <c r="B47" s="43">
        <v>31337.45</v>
      </c>
      <c r="C47" s="43">
        <v>32958.302742100001</v>
      </c>
      <c r="D47" s="63">
        <v>5.1722668895771262E-2</v>
      </c>
      <c r="E47" s="43">
        <v>31337.446379000001</v>
      </c>
      <c r="F47" s="43">
        <v>32958.302742100001</v>
      </c>
      <c r="G47" s="63">
        <v>5.1722668895771262E-2</v>
      </c>
      <c r="H47" s="21"/>
      <c r="I47"/>
    </row>
    <row r="48" spans="1:9">
      <c r="A48" s="4" t="s">
        <v>16</v>
      </c>
      <c r="B48" s="35"/>
      <c r="C48" s="35"/>
      <c r="D48" s="119"/>
      <c r="E48" s="35"/>
      <c r="F48" s="35"/>
      <c r="G48" s="61"/>
    </row>
    <row r="49" spans="1:7" ht="15.6">
      <c r="A49" s="49" t="s">
        <v>6</v>
      </c>
      <c r="B49" s="65">
        <v>41131.368700000006</v>
      </c>
      <c r="C49" s="65">
        <v>45401.098682899988</v>
      </c>
      <c r="D49" s="126"/>
      <c r="E49" s="65">
        <v>41131.368700000006</v>
      </c>
      <c r="F49" s="65">
        <v>45401.098682899988</v>
      </c>
      <c r="G49" s="76"/>
    </row>
    <row r="50" spans="1:7" ht="15.6">
      <c r="A50" s="49" t="s">
        <v>7</v>
      </c>
      <c r="B50" s="65">
        <v>50265.647599999997</v>
      </c>
      <c r="C50" s="65">
        <v>55524.733683400002</v>
      </c>
      <c r="D50" s="121"/>
      <c r="E50" s="65">
        <v>50265.647599999997</v>
      </c>
      <c r="F50" s="65">
        <v>55524.733683400002</v>
      </c>
      <c r="G50" s="76"/>
    </row>
    <row r="51" spans="1:7" ht="15.6">
      <c r="A51" s="49" t="s">
        <v>8</v>
      </c>
      <c r="B51" s="65">
        <v>87466.236100000009</v>
      </c>
      <c r="C51" s="65">
        <v>95688.186712600014</v>
      </c>
      <c r="D51" s="121"/>
      <c r="E51" s="65">
        <v>87466.236110700003</v>
      </c>
      <c r="F51" s="65">
        <v>95688.186712600014</v>
      </c>
      <c r="G51" s="76"/>
    </row>
    <row r="52" spans="1:7" ht="15.6">
      <c r="A52" s="49" t="s">
        <v>9</v>
      </c>
      <c r="B52" s="65">
        <v>12969.910900000001</v>
      </c>
      <c r="C52" s="65">
        <v>12761.891856600001</v>
      </c>
      <c r="D52" s="121"/>
      <c r="E52" s="65">
        <v>12969.907268299999</v>
      </c>
      <c r="F52" s="65">
        <v>12761.891856600001</v>
      </c>
      <c r="G52" s="76" t="s">
        <v>12</v>
      </c>
    </row>
    <row r="53" spans="1:7" ht="15.6">
      <c r="A53" s="18" t="s">
        <v>25</v>
      </c>
      <c r="B53" s="40">
        <v>191833.16329999999</v>
      </c>
      <c r="C53" s="40">
        <v>209375.9109355</v>
      </c>
      <c r="D53" s="66">
        <v>9.1447960748051837E-2</v>
      </c>
      <c r="E53" s="40">
        <v>191833.15967900003</v>
      </c>
      <c r="F53" s="40">
        <v>209375.9109355</v>
      </c>
      <c r="G53" s="66">
        <v>9.1447960748051837E-2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DA0-B726-4ECF-A6AA-FED5EF1BB2FD}">
  <sheetPr>
    <pageSetUpPr fitToPage="1"/>
  </sheetPr>
  <dimension ref="A1:J54"/>
  <sheetViews>
    <sheetView zoomScale="85" zoomScaleNormal="85" workbookViewId="0">
      <pane ySplit="3" topLeftCell="A6" activePane="bottomLeft" state="frozen"/>
      <selection pane="bottomLeft" activeCell="I29" sqref="I29"/>
    </sheetView>
  </sheetViews>
  <sheetFormatPr defaultColWidth="8.77734375" defaultRowHeight="14.4" outlineLevelRow="1"/>
  <cols>
    <col min="1" max="1" width="37.77734375" customWidth="1"/>
    <col min="2" max="3" width="12.44140625" bestFit="1" customWidth="1"/>
    <col min="4" max="4" width="10.33203125" bestFit="1" customWidth="1"/>
    <col min="5" max="6" width="12.44140625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105</v>
      </c>
      <c r="B1" s="157"/>
      <c r="C1" s="157"/>
      <c r="D1" s="157"/>
      <c r="E1" s="157"/>
      <c r="F1" s="157"/>
      <c r="G1" s="158"/>
    </row>
    <row r="2" spans="1:10" ht="15.6">
      <c r="A2" s="108"/>
      <c r="B2" s="174" t="s">
        <v>0</v>
      </c>
      <c r="C2" s="157"/>
      <c r="D2" s="158"/>
      <c r="E2" s="174" t="s">
        <v>78</v>
      </c>
      <c r="F2" s="157"/>
      <c r="G2" s="158"/>
    </row>
    <row r="3" spans="1:10" ht="15.6">
      <c r="A3" s="109" t="s">
        <v>1</v>
      </c>
      <c r="B3" s="111">
        <v>45413</v>
      </c>
      <c r="C3" s="111">
        <v>45778</v>
      </c>
      <c r="D3" s="109" t="s">
        <v>2</v>
      </c>
      <c r="E3" s="111">
        <v>45413</v>
      </c>
      <c r="F3" s="111">
        <v>45778</v>
      </c>
      <c r="G3" s="109" t="s">
        <v>2</v>
      </c>
    </row>
    <row r="4" spans="1:10" ht="15.6">
      <c r="A4" s="109" t="s">
        <v>3</v>
      </c>
      <c r="B4" s="111" t="s">
        <v>4</v>
      </c>
      <c r="C4" s="111" t="s">
        <v>27</v>
      </c>
      <c r="D4" s="109" t="s">
        <v>106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34">
        <v>32409.040000000001</v>
      </c>
      <c r="C6" s="34">
        <v>35433.75</v>
      </c>
      <c r="D6" s="11"/>
      <c r="E6" s="77">
        <v>76254.55</v>
      </c>
      <c r="F6" s="77">
        <v>84067.45</v>
      </c>
      <c r="G6" s="12"/>
      <c r="H6" s="13"/>
      <c r="I6" s="128"/>
    </row>
    <row r="7" spans="1:10" ht="18" outlineLevel="1">
      <c r="A7" s="127" t="s">
        <v>7</v>
      </c>
      <c r="B7" s="34">
        <v>40265.360000000001</v>
      </c>
      <c r="C7" s="34">
        <v>43901.58</v>
      </c>
      <c r="D7" s="11"/>
      <c r="E7" s="77">
        <v>93803.66</v>
      </c>
      <c r="F7" s="77">
        <v>103274.01</v>
      </c>
      <c r="G7" s="12"/>
      <c r="I7" s="129"/>
    </row>
    <row r="8" spans="1:10" ht="18" outlineLevel="1">
      <c r="A8" s="127" t="s">
        <v>8</v>
      </c>
      <c r="B8" s="34">
        <v>47901.72</v>
      </c>
      <c r="C8" s="34">
        <v>58766.68</v>
      </c>
      <c r="D8" s="11"/>
      <c r="E8" s="130">
        <v>109698.41</v>
      </c>
      <c r="F8" s="77">
        <v>128271.07</v>
      </c>
      <c r="G8" s="12"/>
      <c r="H8" s="13"/>
      <c r="I8" s="129"/>
    </row>
    <row r="9" spans="1:10" outlineLevel="1">
      <c r="A9" s="127" t="s">
        <v>9</v>
      </c>
      <c r="B9" s="34">
        <v>11207.2</v>
      </c>
      <c r="C9" s="34">
        <v>11682.64</v>
      </c>
      <c r="D9" s="11"/>
      <c r="E9" s="77">
        <v>23459.24</v>
      </c>
      <c r="F9" s="77">
        <v>23975.52</v>
      </c>
      <c r="G9" s="12"/>
      <c r="I9" s="131"/>
    </row>
    <row r="10" spans="1:10">
      <c r="A10" s="14" t="s">
        <v>20</v>
      </c>
      <c r="B10" s="35">
        <v>131783.32</v>
      </c>
      <c r="C10" s="35">
        <v>149784.65000000002</v>
      </c>
      <c r="D10" s="61">
        <v>0.1365979397089101</v>
      </c>
      <c r="E10" s="73">
        <v>303215.86</v>
      </c>
      <c r="F10" s="73">
        <v>339588.05000000005</v>
      </c>
      <c r="G10" s="61">
        <v>0.11995477413351674</v>
      </c>
      <c r="I10" s="22"/>
    </row>
    <row r="11" spans="1:10">
      <c r="A11" s="14"/>
      <c r="B11" s="6"/>
      <c r="C11" s="6"/>
      <c r="D11" s="61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79"/>
      <c r="E12" s="5"/>
      <c r="F12" s="5"/>
      <c r="G12" s="61"/>
      <c r="I12" s="22"/>
    </row>
    <row r="13" spans="1:10" outlineLevel="1">
      <c r="A13" s="10" t="s">
        <v>8</v>
      </c>
      <c r="B13" s="34">
        <v>39879.26</v>
      </c>
      <c r="C13" s="34">
        <v>50069.711089299999</v>
      </c>
      <c r="D13" s="79"/>
      <c r="E13" s="34">
        <v>77705.760000000009</v>
      </c>
      <c r="F13" s="34">
        <v>95824.199341400003</v>
      </c>
      <c r="G13" s="80"/>
      <c r="I13" s="22"/>
    </row>
    <row r="14" spans="1:10" outlineLevel="1">
      <c r="A14" s="10" t="s">
        <v>9</v>
      </c>
      <c r="B14" s="34">
        <v>1076.32</v>
      </c>
      <c r="C14" s="34">
        <v>1195.9985592</v>
      </c>
      <c r="D14" s="79"/>
      <c r="E14" s="34">
        <v>2084.34</v>
      </c>
      <c r="F14" s="34">
        <v>2354.5789534</v>
      </c>
      <c r="G14" s="80"/>
    </row>
    <row r="15" spans="1:10">
      <c r="A15" s="14" t="s">
        <v>21</v>
      </c>
      <c r="B15" s="35">
        <v>40955.58</v>
      </c>
      <c r="C15" s="35">
        <v>51265.7096485</v>
      </c>
      <c r="D15" s="61">
        <v>0.2517393148503817</v>
      </c>
      <c r="E15" s="35">
        <v>79790.100000000006</v>
      </c>
      <c r="F15" s="35">
        <v>98178.778294800009</v>
      </c>
      <c r="G15" s="63">
        <v>0.23046315639158244</v>
      </c>
      <c r="I15" s="48"/>
    </row>
    <row r="16" spans="1:10">
      <c r="A16" s="4" t="s">
        <v>17</v>
      </c>
      <c r="B16" s="4"/>
      <c r="C16" s="4"/>
      <c r="D16" s="61"/>
      <c r="E16" s="132"/>
      <c r="F16" s="132"/>
      <c r="G16" s="61"/>
      <c r="I16" s="22"/>
      <c r="J16" s="113"/>
    </row>
    <row r="17" spans="1:10" ht="15.6">
      <c r="A17" s="49" t="s">
        <v>6</v>
      </c>
      <c r="B17" s="65">
        <v>32409.040000000001</v>
      </c>
      <c r="C17" s="65">
        <v>35433.75</v>
      </c>
      <c r="D17" s="76"/>
      <c r="E17" s="65">
        <v>76254.55</v>
      </c>
      <c r="F17" s="65">
        <v>84067.45</v>
      </c>
      <c r="G17" s="76"/>
      <c r="I17" s="22"/>
    </row>
    <row r="18" spans="1:10" ht="15.6">
      <c r="A18" s="49" t="s">
        <v>7</v>
      </c>
      <c r="B18" s="65">
        <v>40265.360000000001</v>
      </c>
      <c r="C18" s="65">
        <v>43901.58</v>
      </c>
      <c r="D18" s="76"/>
      <c r="E18" s="65">
        <v>93803.66</v>
      </c>
      <c r="F18" s="65">
        <v>103274.01</v>
      </c>
      <c r="G18" s="76"/>
    </row>
    <row r="19" spans="1:10" ht="15.6">
      <c r="A19" s="49" t="s">
        <v>8</v>
      </c>
      <c r="B19" s="65">
        <v>87780.98000000001</v>
      </c>
      <c r="C19" s="65">
        <v>108836.3910893</v>
      </c>
      <c r="D19" s="76"/>
      <c r="E19" s="65">
        <v>187404.17</v>
      </c>
      <c r="F19" s="65">
        <v>224095.26934140001</v>
      </c>
      <c r="G19" s="76"/>
    </row>
    <row r="20" spans="1:10" ht="15.6">
      <c r="A20" s="49" t="s">
        <v>9</v>
      </c>
      <c r="B20" s="65">
        <v>12283.52</v>
      </c>
      <c r="C20" s="65">
        <v>12878.638559199999</v>
      </c>
      <c r="D20" s="76"/>
      <c r="E20" s="65">
        <v>25543.58</v>
      </c>
      <c r="F20" s="65">
        <v>26330.0989534</v>
      </c>
      <c r="G20" s="76"/>
    </row>
    <row r="21" spans="1:10" ht="15.6">
      <c r="A21" s="18" t="s">
        <v>22</v>
      </c>
      <c r="B21" s="40">
        <v>172738.9</v>
      </c>
      <c r="C21" s="40">
        <v>201050.35964849999</v>
      </c>
      <c r="D21" s="66">
        <v>0.16389741771251298</v>
      </c>
      <c r="E21" s="40">
        <v>383005.96</v>
      </c>
      <c r="F21" s="40">
        <v>437766.82829479995</v>
      </c>
      <c r="G21" s="66">
        <v>0.14297654348459732</v>
      </c>
    </row>
    <row r="22" spans="1:10" s="20" customFormat="1" collapsed="1">
      <c r="A22" s="4" t="s">
        <v>15</v>
      </c>
      <c r="B22" s="36"/>
      <c r="C22" s="36"/>
      <c r="D22" s="133"/>
      <c r="E22" s="11"/>
      <c r="F22" s="11"/>
      <c r="G22" s="133"/>
      <c r="I22"/>
    </row>
    <row r="23" spans="1:10" s="20" customFormat="1" outlineLevel="1">
      <c r="A23" s="10" t="s">
        <v>6</v>
      </c>
      <c r="B23" s="41">
        <v>3175.77</v>
      </c>
      <c r="C23" s="41">
        <v>4242.75</v>
      </c>
      <c r="D23" s="79"/>
      <c r="E23" s="41">
        <v>5889.9</v>
      </c>
      <c r="F23" s="41">
        <v>7473.56</v>
      </c>
      <c r="G23" s="80"/>
      <c r="I23"/>
    </row>
    <row r="24" spans="1:10" s="20" customFormat="1" outlineLevel="1">
      <c r="A24" s="10" t="s">
        <v>7</v>
      </c>
      <c r="B24" s="41">
        <v>4068.52</v>
      </c>
      <c r="C24" s="41">
        <v>5390.67</v>
      </c>
      <c r="D24" s="79"/>
      <c r="E24" s="41">
        <v>7341.17</v>
      </c>
      <c r="F24" s="41">
        <v>9236.3900000000012</v>
      </c>
      <c r="G24" s="80"/>
      <c r="I24"/>
    </row>
    <row r="25" spans="1:10" s="20" customFormat="1" outlineLevel="1">
      <c r="A25" s="10" t="s">
        <v>8</v>
      </c>
      <c r="B25" s="41">
        <v>4358.46</v>
      </c>
      <c r="C25" s="41">
        <v>8365.5499999999993</v>
      </c>
      <c r="D25" s="79"/>
      <c r="E25" s="41">
        <v>9085.68</v>
      </c>
      <c r="F25" s="41">
        <v>14219.71</v>
      </c>
      <c r="G25" s="80"/>
      <c r="I25" s="54"/>
    </row>
    <row r="26" spans="1:10" s="20" customFormat="1" outlineLevel="1">
      <c r="A26" s="10" t="s">
        <v>9</v>
      </c>
      <c r="B26" s="41">
        <v>309.03999999999996</v>
      </c>
      <c r="C26" s="41">
        <v>314.61</v>
      </c>
      <c r="D26" s="79"/>
      <c r="E26" s="41">
        <v>531.83999999999992</v>
      </c>
      <c r="F26" s="41">
        <v>765.74</v>
      </c>
      <c r="G26" s="80"/>
      <c r="I26" s="54"/>
    </row>
    <row r="27" spans="1:10" s="20" customFormat="1">
      <c r="A27" s="14" t="s">
        <v>10</v>
      </c>
      <c r="B27" s="35">
        <v>11911.79</v>
      </c>
      <c r="C27" s="35">
        <v>18313.580000000002</v>
      </c>
      <c r="D27" s="63">
        <v>0.53743308100629705</v>
      </c>
      <c r="E27" s="35">
        <v>22848.59</v>
      </c>
      <c r="F27" s="35">
        <v>31695.4</v>
      </c>
      <c r="G27" s="63">
        <v>0.38719282021341361</v>
      </c>
      <c r="I27" s="21"/>
      <c r="J27" s="81"/>
    </row>
    <row r="28" spans="1:10" s="20" customFormat="1" collapsed="1">
      <c r="A28" s="4" t="s">
        <v>65</v>
      </c>
      <c r="B28" s="36"/>
      <c r="C28" s="36"/>
      <c r="D28" s="104"/>
      <c r="E28" s="36"/>
      <c r="F28" s="132"/>
      <c r="G28" s="104"/>
    </row>
    <row r="29" spans="1:10" s="20" customFormat="1" outlineLevel="1">
      <c r="A29" s="10" t="s">
        <v>8</v>
      </c>
      <c r="B29" s="36">
        <v>16215.2026382</v>
      </c>
      <c r="C29" s="36">
        <v>8793.5522058000006</v>
      </c>
      <c r="D29" s="79"/>
      <c r="E29" s="36">
        <v>23644.942627500001</v>
      </c>
      <c r="F29" s="36">
        <v>22509.876323700002</v>
      </c>
      <c r="G29" s="80"/>
      <c r="H29" s="21"/>
      <c r="I29" s="54"/>
    </row>
    <row r="30" spans="1:10" s="20" customFormat="1" outlineLevel="1">
      <c r="A30" s="10" t="s">
        <v>9</v>
      </c>
      <c r="B30" s="36">
        <v>230.4675585</v>
      </c>
      <c r="C30" s="36">
        <v>102.51934850000001</v>
      </c>
      <c r="D30" s="79"/>
      <c r="E30" s="36">
        <v>297.80119020000001</v>
      </c>
      <c r="F30" s="36">
        <v>340.96113479999997</v>
      </c>
      <c r="G30" s="80"/>
      <c r="H30" s="21"/>
      <c r="I30" s="54"/>
    </row>
    <row r="31" spans="1:10" s="20" customFormat="1">
      <c r="A31" s="14" t="s">
        <v>11</v>
      </c>
      <c r="B31" s="35">
        <v>16445.670196700001</v>
      </c>
      <c r="C31" s="35">
        <v>8896.0715543000006</v>
      </c>
      <c r="D31" s="63">
        <v>-0.45906299664910633</v>
      </c>
      <c r="E31" s="35">
        <v>23942.7438177</v>
      </c>
      <c r="F31" s="35">
        <v>22850.837458500002</v>
      </c>
      <c r="G31" s="63">
        <v>-4.560489672836876E-2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61"/>
      <c r="E32" s="132"/>
      <c r="F32" s="132"/>
      <c r="G32" s="133"/>
      <c r="H32" s="21"/>
      <c r="I32"/>
    </row>
    <row r="33" spans="1:9" s="20" customFormat="1">
      <c r="A33" s="25" t="s">
        <v>6</v>
      </c>
      <c r="B33" s="42">
        <v>3175.77</v>
      </c>
      <c r="C33" s="42">
        <v>4242.75</v>
      </c>
      <c r="D33" s="82"/>
      <c r="E33" s="42">
        <v>5889.9</v>
      </c>
      <c r="F33" s="42">
        <v>7473.56</v>
      </c>
      <c r="G33" s="63"/>
      <c r="H33" s="21"/>
      <c r="I33"/>
    </row>
    <row r="34" spans="1:9" s="20" customFormat="1">
      <c r="A34" s="26" t="s">
        <v>7</v>
      </c>
      <c r="B34" s="42">
        <v>4068.52</v>
      </c>
      <c r="C34" s="42">
        <v>5390.67</v>
      </c>
      <c r="D34" s="82"/>
      <c r="E34" s="42">
        <v>7341.17</v>
      </c>
      <c r="F34" s="42">
        <v>9236.3900000000012</v>
      </c>
      <c r="G34" s="63"/>
      <c r="H34" s="21"/>
      <c r="I34"/>
    </row>
    <row r="35" spans="1:9" s="20" customFormat="1">
      <c r="A35" s="26" t="s">
        <v>8</v>
      </c>
      <c r="B35" s="42">
        <v>20573.662638199999</v>
      </c>
      <c r="C35" s="42">
        <v>17159.102205800002</v>
      </c>
      <c r="D35" s="82"/>
      <c r="E35" s="42">
        <v>32730.622627500001</v>
      </c>
      <c r="F35" s="42">
        <v>36729.586323700001</v>
      </c>
      <c r="G35" s="63"/>
      <c r="H35" s="21"/>
      <c r="I35"/>
    </row>
    <row r="36" spans="1:9" s="20" customFormat="1">
      <c r="A36" s="26" t="s">
        <v>9</v>
      </c>
      <c r="B36" s="42">
        <v>539.50755849999996</v>
      </c>
      <c r="C36" s="42">
        <v>417.12934849999999</v>
      </c>
      <c r="D36" s="82"/>
      <c r="E36" s="42">
        <v>829.64119019999998</v>
      </c>
      <c r="F36" s="42">
        <v>1106.7011348000001</v>
      </c>
      <c r="G36" s="63"/>
      <c r="H36" s="21"/>
      <c r="I36"/>
    </row>
    <row r="37" spans="1:9" s="20" customFormat="1" ht="15.6">
      <c r="A37" s="30" t="s">
        <v>23</v>
      </c>
      <c r="B37" s="40">
        <v>28357.460196700002</v>
      </c>
      <c r="C37" s="40">
        <v>27209.651554299999</v>
      </c>
      <c r="D37" s="70">
        <v>-4.0476426112856734E-2</v>
      </c>
      <c r="E37" s="40">
        <v>46791.333817699997</v>
      </c>
      <c r="F37" s="40">
        <v>54546.2374585</v>
      </c>
      <c r="G37" s="70">
        <v>0.16573375896941234</v>
      </c>
      <c r="H37" s="21"/>
      <c r="I37"/>
    </row>
    <row r="38" spans="1:9" s="20" customFormat="1">
      <c r="A38" s="4" t="s">
        <v>19</v>
      </c>
      <c r="B38" s="132"/>
      <c r="C38" s="132"/>
      <c r="D38" s="61"/>
      <c r="E38" s="132"/>
      <c r="F38" s="132"/>
      <c r="G38" s="61"/>
      <c r="H38" s="21"/>
      <c r="I38"/>
    </row>
    <row r="39" spans="1:9" s="20" customFormat="1">
      <c r="A39" s="25" t="s">
        <v>6</v>
      </c>
      <c r="B39" s="42">
        <v>29233.27</v>
      </c>
      <c r="C39" s="42">
        <v>31191</v>
      </c>
      <c r="D39" s="134"/>
      <c r="E39" s="42">
        <v>70364.650000000009</v>
      </c>
      <c r="F39" s="42">
        <v>76593.89</v>
      </c>
      <c r="G39" s="82"/>
      <c r="H39" s="21"/>
      <c r="I39"/>
    </row>
    <row r="40" spans="1:9" s="20" customFormat="1">
      <c r="A40" s="26" t="s">
        <v>7</v>
      </c>
      <c r="B40" s="42">
        <v>36196.840000000004</v>
      </c>
      <c r="C40" s="42">
        <v>38510.910000000003</v>
      </c>
      <c r="D40" s="134"/>
      <c r="E40" s="42">
        <v>86462.49</v>
      </c>
      <c r="F40" s="42">
        <v>94037.62</v>
      </c>
      <c r="G40" s="82"/>
      <c r="H40" s="21"/>
      <c r="I40"/>
    </row>
    <row r="41" spans="1:9" s="20" customFormat="1">
      <c r="A41" s="26" t="s">
        <v>8</v>
      </c>
      <c r="B41" s="42">
        <v>43543.26</v>
      </c>
      <c r="C41" s="42">
        <v>50401.130000000005</v>
      </c>
      <c r="D41" s="134"/>
      <c r="E41" s="42">
        <v>100612.73000000001</v>
      </c>
      <c r="F41" s="42">
        <v>114051.36000000002</v>
      </c>
      <c r="G41" s="82"/>
      <c r="H41" s="21"/>
      <c r="I41"/>
    </row>
    <row r="42" spans="1:9" s="20" customFormat="1">
      <c r="A42" s="26" t="s">
        <v>9</v>
      </c>
      <c r="B42" s="42">
        <v>10898.16</v>
      </c>
      <c r="C42" s="42">
        <v>11368.029999999999</v>
      </c>
      <c r="D42" s="134"/>
      <c r="E42" s="42">
        <v>22927.4</v>
      </c>
      <c r="F42" s="42">
        <v>23209.78</v>
      </c>
      <c r="G42" s="82"/>
      <c r="H42" s="21"/>
      <c r="I42"/>
    </row>
    <row r="43" spans="1:9" s="20" customFormat="1">
      <c r="A43" s="27" t="s">
        <v>24</v>
      </c>
      <c r="B43" s="43">
        <v>119871.53</v>
      </c>
      <c r="C43" s="43">
        <v>131471.07</v>
      </c>
      <c r="D43" s="63">
        <v>9.6766429860368097E-2</v>
      </c>
      <c r="E43" s="43">
        <v>280367.27</v>
      </c>
      <c r="F43" s="43">
        <v>307892.65000000002</v>
      </c>
      <c r="G43" s="63">
        <v>9.8176153015293144E-2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132"/>
      <c r="F44" s="132"/>
      <c r="G44" s="61"/>
      <c r="H44" s="21"/>
      <c r="I44"/>
    </row>
    <row r="45" spans="1:9" s="20" customFormat="1">
      <c r="A45" s="26" t="s">
        <v>8</v>
      </c>
      <c r="B45" s="42">
        <v>23664.057361800002</v>
      </c>
      <c r="C45" s="42">
        <v>41276.1588835</v>
      </c>
      <c r="D45" s="134"/>
      <c r="E45" s="42">
        <v>54060.817372500009</v>
      </c>
      <c r="F45" s="42">
        <v>73314.323017699993</v>
      </c>
      <c r="G45" s="82"/>
      <c r="H45" s="21"/>
      <c r="I45"/>
    </row>
    <row r="46" spans="1:9" s="20" customFormat="1">
      <c r="A46" s="26" t="s">
        <v>9</v>
      </c>
      <c r="B46" s="42">
        <v>845.85244149999994</v>
      </c>
      <c r="C46" s="42">
        <v>1093.4792107000001</v>
      </c>
      <c r="D46" s="134"/>
      <c r="E46" s="42">
        <v>1786.5388098000001</v>
      </c>
      <c r="F46" s="42">
        <v>2013.6178186000002</v>
      </c>
      <c r="G46" s="82"/>
      <c r="H46" s="21"/>
      <c r="I46"/>
    </row>
    <row r="47" spans="1:9" s="20" customFormat="1">
      <c r="A47" s="27" t="s">
        <v>67</v>
      </c>
      <c r="B47" s="43">
        <v>24509.909803300001</v>
      </c>
      <c r="C47" s="43">
        <v>42369.638094200003</v>
      </c>
      <c r="D47" s="63">
        <v>0.72867376641652837</v>
      </c>
      <c r="E47" s="43">
        <v>55847.356182300005</v>
      </c>
      <c r="F47" s="43">
        <v>75327.940836299997</v>
      </c>
      <c r="G47" s="63">
        <v>0.34881838614544969</v>
      </c>
      <c r="H47" s="21"/>
      <c r="I47"/>
    </row>
    <row r="48" spans="1:9">
      <c r="A48" s="4" t="s">
        <v>16</v>
      </c>
      <c r="B48" s="132"/>
      <c r="C48" s="132"/>
      <c r="D48" s="61"/>
      <c r="E48" s="132"/>
      <c r="F48" s="132"/>
      <c r="G48" s="61"/>
    </row>
    <row r="49" spans="1:7" ht="15.6">
      <c r="A49" s="49" t="s">
        <v>6</v>
      </c>
      <c r="B49" s="65">
        <v>29233.27</v>
      </c>
      <c r="C49" s="65">
        <v>31191</v>
      </c>
      <c r="D49" s="135"/>
      <c r="E49" s="65">
        <v>70364.650000000009</v>
      </c>
      <c r="F49" s="65">
        <v>76593.89</v>
      </c>
      <c r="G49" s="76"/>
    </row>
    <row r="50" spans="1:7" ht="15.6">
      <c r="A50" s="49" t="s">
        <v>7</v>
      </c>
      <c r="B50" s="65">
        <v>36196.840000000004</v>
      </c>
      <c r="C50" s="65">
        <v>38510.910000000003</v>
      </c>
      <c r="D50" s="76"/>
      <c r="E50" s="65">
        <v>86462.49</v>
      </c>
      <c r="F50" s="65">
        <v>94037.62</v>
      </c>
      <c r="G50" s="76"/>
    </row>
    <row r="51" spans="1:7" ht="15.6">
      <c r="A51" s="49" t="s">
        <v>8</v>
      </c>
      <c r="B51" s="65">
        <v>67207.3173618</v>
      </c>
      <c r="C51" s="65">
        <v>91677.288883500005</v>
      </c>
      <c r="D51" s="76"/>
      <c r="E51" s="65">
        <v>154673.5473725</v>
      </c>
      <c r="F51" s="65">
        <v>187365.68301770001</v>
      </c>
      <c r="G51" s="76"/>
    </row>
    <row r="52" spans="1:7" ht="15.6">
      <c r="A52" s="49" t="s">
        <v>9</v>
      </c>
      <c r="B52" s="65">
        <v>11744.012441499999</v>
      </c>
      <c r="C52" s="65">
        <v>12461.509210699998</v>
      </c>
      <c r="D52" s="76"/>
      <c r="E52" s="65">
        <v>24713.938809800002</v>
      </c>
      <c r="F52" s="65">
        <v>25223.397818599999</v>
      </c>
      <c r="G52" s="76" t="s">
        <v>12</v>
      </c>
    </row>
    <row r="53" spans="1:7" ht="15.6">
      <c r="A53" s="18" t="s">
        <v>25</v>
      </c>
      <c r="B53" s="40">
        <v>144381.43980329999</v>
      </c>
      <c r="C53" s="40">
        <v>173840.7080942</v>
      </c>
      <c r="D53" s="66">
        <v>0.20403777889342467</v>
      </c>
      <c r="E53" s="40">
        <v>336214.62618230004</v>
      </c>
      <c r="F53" s="40">
        <v>383220.59083629999</v>
      </c>
      <c r="G53" s="66">
        <v>0.13980939850163665</v>
      </c>
    </row>
    <row r="54" spans="1:7">
      <c r="B54" s="22"/>
      <c r="C54" s="22"/>
      <c r="D54" s="74"/>
      <c r="E54" s="22"/>
      <c r="F54" s="22">
        <f t="shared" ref="F54" si="0">F10+F15-F21</f>
        <v>0</v>
      </c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53B0-205D-4303-8003-5117A19A7792}">
  <sheetPr>
    <pageSetUpPr fitToPage="1"/>
  </sheetPr>
  <dimension ref="A1:H54"/>
  <sheetViews>
    <sheetView zoomScale="70" zoomScaleNormal="70" workbookViewId="0">
      <pane ySplit="3" topLeftCell="A4" activePane="bottomLeft" state="frozen"/>
      <selection pane="bottomLeft" activeCell="C10" sqref="C10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</cols>
  <sheetData>
    <row r="1" spans="1:8" ht="15.6">
      <c r="A1" s="156" t="s">
        <v>107</v>
      </c>
      <c r="B1" s="157"/>
      <c r="C1" s="157"/>
      <c r="D1" s="157"/>
      <c r="E1" s="157"/>
      <c r="F1" s="157"/>
      <c r="G1" s="158"/>
    </row>
    <row r="2" spans="1:8" ht="15.6">
      <c r="A2" s="1"/>
      <c r="B2" s="159" t="s">
        <v>0</v>
      </c>
      <c r="C2" s="159"/>
      <c r="D2" s="159"/>
      <c r="E2" s="159" t="s">
        <v>78</v>
      </c>
      <c r="F2" s="159"/>
      <c r="G2" s="159"/>
    </row>
    <row r="3" spans="1:8" ht="15.6">
      <c r="A3" s="109" t="s">
        <v>1</v>
      </c>
      <c r="B3" s="110" t="s">
        <v>51</v>
      </c>
      <c r="C3" s="111">
        <v>45809</v>
      </c>
      <c r="D3" s="109" t="s">
        <v>2</v>
      </c>
      <c r="E3" s="110" t="s">
        <v>51</v>
      </c>
      <c r="F3" s="111">
        <v>45809</v>
      </c>
      <c r="G3" s="109" t="s">
        <v>2</v>
      </c>
    </row>
    <row r="4" spans="1:8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34">
        <v>32627.182000000001</v>
      </c>
      <c r="C6" s="77">
        <v>34557.660000000003</v>
      </c>
      <c r="D6" s="11"/>
      <c r="E6" s="77">
        <v>108881.73</v>
      </c>
      <c r="F6" s="77">
        <v>118625.11</v>
      </c>
      <c r="G6" s="12"/>
      <c r="H6" s="13"/>
    </row>
    <row r="7" spans="1:8" outlineLevel="1">
      <c r="A7" s="127" t="s">
        <v>7</v>
      </c>
      <c r="B7" s="34">
        <v>40714.761700000003</v>
      </c>
      <c r="C7" s="77">
        <v>43267.86</v>
      </c>
      <c r="D7" s="11"/>
      <c r="E7" s="77">
        <v>134518.42000000001</v>
      </c>
      <c r="F7" s="77">
        <v>146541.87</v>
      </c>
      <c r="G7" s="12"/>
    </row>
    <row r="8" spans="1:8" outlineLevel="1">
      <c r="A8" s="127" t="s">
        <v>8</v>
      </c>
      <c r="B8" s="34">
        <v>47269.900200000004</v>
      </c>
      <c r="C8" s="77">
        <v>48680.2</v>
      </c>
      <c r="D8" s="11"/>
      <c r="E8" s="130">
        <v>156968.31</v>
      </c>
      <c r="F8" s="77">
        <v>176951.27</v>
      </c>
      <c r="G8" s="12"/>
      <c r="H8" s="13"/>
    </row>
    <row r="9" spans="1:8" outlineLevel="1">
      <c r="A9" s="127" t="s">
        <v>9</v>
      </c>
      <c r="B9" s="34">
        <v>12188.314999999999</v>
      </c>
      <c r="C9" s="77">
        <v>12400.29</v>
      </c>
      <c r="D9" s="11"/>
      <c r="E9" s="77">
        <v>35647.550000000003</v>
      </c>
      <c r="F9" s="77">
        <v>36375.82</v>
      </c>
      <c r="G9" s="12"/>
    </row>
    <row r="10" spans="1:8">
      <c r="A10" s="136" t="s">
        <v>20</v>
      </c>
      <c r="B10" s="118">
        <v>132800.15890000001</v>
      </c>
      <c r="C10" s="35">
        <v>138906.01</v>
      </c>
      <c r="D10" s="61">
        <v>4.5977730749722001E-2</v>
      </c>
      <c r="E10" s="73">
        <v>436016.01</v>
      </c>
      <c r="F10" s="73">
        <v>478494.07</v>
      </c>
      <c r="G10" s="61">
        <v>9.7423165722744898E-2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34">
        <v>40040.36</v>
      </c>
      <c r="C13" s="34">
        <v>44599.516060327005</v>
      </c>
      <c r="D13" s="11"/>
      <c r="E13" s="34">
        <v>117746.12000000001</v>
      </c>
      <c r="F13" s="34">
        <v>140423.71431242701</v>
      </c>
      <c r="G13" s="12"/>
    </row>
    <row r="14" spans="1:8" outlineLevel="1">
      <c r="A14" s="10" t="s">
        <v>9</v>
      </c>
      <c r="B14" s="34">
        <v>972.02</v>
      </c>
      <c r="C14" s="34">
        <v>1090.9803479</v>
      </c>
      <c r="D14" s="11"/>
      <c r="E14" s="34">
        <v>3056.36</v>
      </c>
      <c r="F14" s="34">
        <v>3445.5607421000004</v>
      </c>
      <c r="G14" s="12"/>
    </row>
    <row r="15" spans="1:8">
      <c r="A15" s="14" t="s">
        <v>21</v>
      </c>
      <c r="B15" s="35">
        <v>41012.379999999997</v>
      </c>
      <c r="C15" s="35">
        <v>45690.496408227002</v>
      </c>
      <c r="D15" s="61">
        <v>0.11406595784558227</v>
      </c>
      <c r="E15" s="35">
        <v>120802.48000000001</v>
      </c>
      <c r="F15" s="35">
        <v>143869.27505452701</v>
      </c>
      <c r="G15" s="63">
        <v>0.19094637009544013</v>
      </c>
    </row>
    <row r="16" spans="1:8">
      <c r="A16" s="4" t="s">
        <v>17</v>
      </c>
      <c r="B16" s="35"/>
      <c r="C16" s="35"/>
      <c r="D16" s="9"/>
      <c r="E16" s="35"/>
      <c r="F16" s="35"/>
      <c r="G16" s="9"/>
    </row>
    <row r="17" spans="1:8" ht="15.6">
      <c r="A17" s="49" t="s">
        <v>6</v>
      </c>
      <c r="B17" s="75">
        <v>32627.182000000001</v>
      </c>
      <c r="C17" s="65">
        <v>34557.660000000003</v>
      </c>
      <c r="D17" s="52"/>
      <c r="E17" s="65">
        <v>108881.73</v>
      </c>
      <c r="F17" s="65">
        <v>118625.11</v>
      </c>
      <c r="G17" s="52"/>
    </row>
    <row r="18" spans="1:8" ht="15.6">
      <c r="A18" s="49" t="s">
        <v>7</v>
      </c>
      <c r="B18" s="75">
        <v>40714.761700000003</v>
      </c>
      <c r="C18" s="65">
        <v>43267.86</v>
      </c>
      <c r="D18" s="52"/>
      <c r="E18" s="65">
        <v>134518.42000000001</v>
      </c>
      <c r="F18" s="65">
        <v>146541.87</v>
      </c>
      <c r="G18" s="52"/>
    </row>
    <row r="19" spans="1:8" ht="15.6">
      <c r="A19" s="49" t="s">
        <v>8</v>
      </c>
      <c r="B19" s="75">
        <v>87310.260200000004</v>
      </c>
      <c r="C19" s="65">
        <v>93279.716060327002</v>
      </c>
      <c r="D19" s="52"/>
      <c r="E19" s="65">
        <v>274714.43</v>
      </c>
      <c r="F19" s="65">
        <v>317374.984312427</v>
      </c>
      <c r="G19" s="52"/>
    </row>
    <row r="20" spans="1:8" ht="15.6">
      <c r="A20" s="49" t="s">
        <v>9</v>
      </c>
      <c r="B20" s="75">
        <v>13160.334999999999</v>
      </c>
      <c r="C20" s="65">
        <v>13491.270347900001</v>
      </c>
      <c r="D20" s="52"/>
      <c r="E20" s="65">
        <v>38703.910000000003</v>
      </c>
      <c r="F20" s="65">
        <v>39821.380742100002</v>
      </c>
      <c r="G20" s="52"/>
    </row>
    <row r="21" spans="1:8" ht="15.6">
      <c r="A21" s="18" t="s">
        <v>22</v>
      </c>
      <c r="B21" s="40">
        <v>173812.53890000001</v>
      </c>
      <c r="C21" s="40">
        <v>184596.506408227</v>
      </c>
      <c r="D21" s="66">
        <v>6.2043661569107567E-2</v>
      </c>
      <c r="E21" s="40">
        <v>556818.49</v>
      </c>
      <c r="F21" s="40">
        <v>622363.34505452693</v>
      </c>
      <c r="G21" s="66">
        <v>0.11771314392689614</v>
      </c>
    </row>
    <row r="22" spans="1:8" s="20" customFormat="1" collapsed="1">
      <c r="A22" s="4" t="s">
        <v>15</v>
      </c>
      <c r="B22" s="34"/>
      <c r="C22" s="34"/>
      <c r="D22" s="9"/>
      <c r="E22" s="59"/>
      <c r="F22" s="59"/>
      <c r="G22" s="9"/>
    </row>
    <row r="23" spans="1:8" s="20" customFormat="1" outlineLevel="1">
      <c r="A23" s="10" t="s">
        <v>6</v>
      </c>
      <c r="B23" s="59">
        <v>2809.41</v>
      </c>
      <c r="C23" s="59">
        <v>3193.71</v>
      </c>
      <c r="D23" s="11"/>
      <c r="E23" s="34">
        <v>8699.33</v>
      </c>
      <c r="F23" s="34">
        <v>10648.130000000001</v>
      </c>
      <c r="G23" s="12"/>
    </row>
    <row r="24" spans="1:8" s="20" customFormat="1" outlineLevel="1">
      <c r="A24" s="10" t="s">
        <v>7</v>
      </c>
      <c r="B24" s="59">
        <v>3692.9399999999996</v>
      </c>
      <c r="C24" s="59">
        <v>3873.25</v>
      </c>
      <c r="D24" s="11"/>
      <c r="E24" s="34">
        <v>11034.11</v>
      </c>
      <c r="F24" s="34">
        <v>13090.35</v>
      </c>
      <c r="G24" s="12"/>
    </row>
    <row r="25" spans="1:8" s="20" customFormat="1" outlineLevel="1">
      <c r="A25" s="10" t="s">
        <v>8</v>
      </c>
      <c r="B25" s="59">
        <v>4334.6900000000005</v>
      </c>
      <c r="C25" s="59">
        <v>5372.21</v>
      </c>
      <c r="D25" s="11"/>
      <c r="E25" s="34">
        <v>13420.36</v>
      </c>
      <c r="F25" s="34">
        <v>19424.55</v>
      </c>
      <c r="G25" s="12"/>
    </row>
    <row r="26" spans="1:8" s="20" customFormat="1" outlineLevel="1">
      <c r="A26" s="10" t="s">
        <v>9</v>
      </c>
      <c r="B26" s="59">
        <v>243.42000000000002</v>
      </c>
      <c r="C26" s="59">
        <v>203.55</v>
      </c>
      <c r="D26" s="11"/>
      <c r="E26" s="34">
        <v>775.27</v>
      </c>
      <c r="F26" s="34">
        <v>968.77</v>
      </c>
      <c r="G26" s="12"/>
    </row>
    <row r="27" spans="1:8" s="20" customFormat="1">
      <c r="A27" s="14" t="s">
        <v>10</v>
      </c>
      <c r="B27" s="78">
        <v>11080.460000000001</v>
      </c>
      <c r="C27" s="35">
        <v>12642.72</v>
      </c>
      <c r="D27" s="63">
        <v>0.14099234147318773</v>
      </c>
      <c r="E27" s="35">
        <v>33929.07</v>
      </c>
      <c r="F27" s="35">
        <v>44131.799999999996</v>
      </c>
      <c r="G27" s="63">
        <v>0.30070762328587253</v>
      </c>
    </row>
    <row r="28" spans="1:8" s="20" customFormat="1" collapsed="1">
      <c r="A28" s="4" t="s">
        <v>65</v>
      </c>
      <c r="B28" s="34"/>
      <c r="C28" s="34"/>
      <c r="D28" s="9"/>
      <c r="E28" s="34"/>
      <c r="F28" s="35"/>
      <c r="G28" s="9"/>
    </row>
    <row r="29" spans="1:8" s="20" customFormat="1" outlineLevel="1">
      <c r="A29" s="10" t="s">
        <v>8</v>
      </c>
      <c r="B29" s="34">
        <v>8603.5</v>
      </c>
      <c r="C29" s="34">
        <v>12688.4654362</v>
      </c>
      <c r="D29" s="11"/>
      <c r="E29" s="34">
        <v>32248.440713100001</v>
      </c>
      <c r="F29" s="34">
        <v>35198.339554099999</v>
      </c>
      <c r="G29" s="12"/>
      <c r="H29" s="21"/>
    </row>
    <row r="30" spans="1:8" s="20" customFormat="1" outlineLevel="1">
      <c r="A30" s="10" t="s">
        <v>9</v>
      </c>
      <c r="B30" s="34">
        <v>169.45</v>
      </c>
      <c r="C30" s="34">
        <v>159.42253919999999</v>
      </c>
      <c r="D30" s="11"/>
      <c r="E30" s="34">
        <v>467.25678919999996</v>
      </c>
      <c r="F30" s="34">
        <v>500.38432549999993</v>
      </c>
      <c r="G30" s="12"/>
      <c r="H30" s="21"/>
    </row>
    <row r="31" spans="1:8" s="20" customFormat="1">
      <c r="A31" s="14" t="s">
        <v>11</v>
      </c>
      <c r="B31" s="35">
        <v>8772.9500000000007</v>
      </c>
      <c r="C31" s="35">
        <v>12847.887975400001</v>
      </c>
      <c r="D31" s="63">
        <v>0.46448826122133524</v>
      </c>
      <c r="E31" s="35">
        <v>32715.697502300001</v>
      </c>
      <c r="F31" s="35">
        <v>35698.723879600002</v>
      </c>
      <c r="G31" s="63">
        <v>9.1180277513272845E-2</v>
      </c>
      <c r="H31" s="21"/>
    </row>
    <row r="32" spans="1:8" s="20" customFormat="1">
      <c r="A32" s="4" t="s">
        <v>18</v>
      </c>
      <c r="B32" s="35"/>
      <c r="C32" s="35"/>
      <c r="D32" s="9"/>
      <c r="E32" s="35"/>
      <c r="F32" s="35"/>
      <c r="G32" s="9"/>
      <c r="H32" s="21"/>
    </row>
    <row r="33" spans="1:8" s="20" customFormat="1">
      <c r="A33" s="25" t="s">
        <v>6</v>
      </c>
      <c r="B33" s="42">
        <v>2809.41</v>
      </c>
      <c r="C33" s="42">
        <v>3193.71</v>
      </c>
      <c r="D33" s="29"/>
      <c r="E33" s="42">
        <v>8699.33</v>
      </c>
      <c r="F33" s="42">
        <v>10648.130000000001</v>
      </c>
      <c r="G33" s="24"/>
      <c r="H33" s="21"/>
    </row>
    <row r="34" spans="1:8" s="20" customFormat="1">
      <c r="A34" s="26" t="s">
        <v>7</v>
      </c>
      <c r="B34" s="42">
        <v>3692.9399999999996</v>
      </c>
      <c r="C34" s="42">
        <v>3873.25</v>
      </c>
      <c r="D34" s="29"/>
      <c r="E34" s="42">
        <v>11034.11</v>
      </c>
      <c r="F34" s="42">
        <v>13090.35</v>
      </c>
      <c r="G34" s="24"/>
      <c r="H34" s="21"/>
    </row>
    <row r="35" spans="1:8" s="20" customFormat="1">
      <c r="A35" s="26" t="s">
        <v>8</v>
      </c>
      <c r="B35" s="42">
        <v>12938.19</v>
      </c>
      <c r="C35" s="42">
        <v>18060.675436199999</v>
      </c>
      <c r="D35" s="29"/>
      <c r="E35" s="42">
        <v>45668.800713100005</v>
      </c>
      <c r="F35" s="42">
        <v>54622.889554099995</v>
      </c>
      <c r="G35" s="24"/>
      <c r="H35" s="21"/>
    </row>
    <row r="36" spans="1:8" s="20" customFormat="1">
      <c r="A36" s="26" t="s">
        <v>9</v>
      </c>
      <c r="B36" s="42">
        <v>412.87</v>
      </c>
      <c r="C36" s="42">
        <v>362.97253920000003</v>
      </c>
      <c r="D36" s="29"/>
      <c r="E36" s="42">
        <v>1242.5267891999999</v>
      </c>
      <c r="F36" s="42">
        <v>1469.1543254999999</v>
      </c>
      <c r="G36" s="24"/>
      <c r="H36" s="21"/>
    </row>
    <row r="37" spans="1:8" s="20" customFormat="1" ht="15.6">
      <c r="A37" s="30" t="s">
        <v>23</v>
      </c>
      <c r="B37" s="40">
        <v>19853.41</v>
      </c>
      <c r="C37" s="40">
        <v>25490.607975399998</v>
      </c>
      <c r="D37" s="70">
        <v>0.28394079364908076</v>
      </c>
      <c r="E37" s="40">
        <v>66644.767502300005</v>
      </c>
      <c r="F37" s="40">
        <v>79830.523879600005</v>
      </c>
      <c r="G37" s="70">
        <v>0.19785133734384996</v>
      </c>
      <c r="H37" s="21"/>
    </row>
    <row r="38" spans="1:8" s="20" customFormat="1">
      <c r="A38" s="4" t="s">
        <v>19</v>
      </c>
      <c r="B38" s="35"/>
      <c r="C38" s="35"/>
      <c r="D38" s="9"/>
      <c r="E38" s="35"/>
      <c r="F38" s="35"/>
      <c r="G38" s="9"/>
      <c r="H38" s="21"/>
    </row>
    <row r="39" spans="1:8" s="20" customFormat="1">
      <c r="A39" s="25" t="s">
        <v>6</v>
      </c>
      <c r="B39" s="42">
        <v>29817.772000000001</v>
      </c>
      <c r="C39" s="42">
        <v>31363.950000000004</v>
      </c>
      <c r="D39" s="28">
        <v>0</v>
      </c>
      <c r="E39" s="42">
        <v>100182.39999999999</v>
      </c>
      <c r="F39" s="42">
        <v>107976.98</v>
      </c>
      <c r="G39" s="29"/>
      <c r="H39" s="21"/>
    </row>
    <row r="40" spans="1:8" s="20" customFormat="1">
      <c r="A40" s="26" t="s">
        <v>7</v>
      </c>
      <c r="B40" s="42">
        <v>37021.8217</v>
      </c>
      <c r="C40" s="42">
        <v>39394.61</v>
      </c>
      <c r="D40" s="28">
        <v>0</v>
      </c>
      <c r="E40" s="42">
        <v>123484.31000000001</v>
      </c>
      <c r="F40" s="42">
        <v>133451.51999999999</v>
      </c>
      <c r="G40" s="29"/>
      <c r="H40" s="21"/>
    </row>
    <row r="41" spans="1:8" s="20" customFormat="1">
      <c r="A41" s="26" t="s">
        <v>8</v>
      </c>
      <c r="B41" s="42">
        <v>42935.210200000001</v>
      </c>
      <c r="C41" s="42">
        <v>43307.99</v>
      </c>
      <c r="D41" s="28">
        <v>0</v>
      </c>
      <c r="E41" s="42">
        <v>143547.95000000001</v>
      </c>
      <c r="F41" s="42">
        <v>157526.72</v>
      </c>
      <c r="G41" s="29"/>
      <c r="H41" s="21"/>
    </row>
    <row r="42" spans="1:8" s="20" customFormat="1">
      <c r="A42" s="26" t="s">
        <v>9</v>
      </c>
      <c r="B42" s="42">
        <v>11944.894999999999</v>
      </c>
      <c r="C42" s="42">
        <v>12196.740000000002</v>
      </c>
      <c r="D42" s="28">
        <v>0</v>
      </c>
      <c r="E42" s="42">
        <v>34872.280000000006</v>
      </c>
      <c r="F42" s="42">
        <v>35407.050000000003</v>
      </c>
      <c r="G42" s="29"/>
      <c r="H42" s="21"/>
    </row>
    <row r="43" spans="1:8" s="20" customFormat="1">
      <c r="A43" s="27" t="s">
        <v>24</v>
      </c>
      <c r="B43" s="43">
        <v>121719.6989</v>
      </c>
      <c r="C43" s="43">
        <v>126263.29</v>
      </c>
      <c r="D43" s="63">
        <v>3.7328304292567394E-2</v>
      </c>
      <c r="E43" s="43">
        <v>402086.94000000006</v>
      </c>
      <c r="F43" s="43">
        <v>434362.26999999996</v>
      </c>
      <c r="G43" s="63">
        <v>8.0269530763669827E-2</v>
      </c>
      <c r="H43" s="21"/>
    </row>
    <row r="44" spans="1:8" s="20" customFormat="1">
      <c r="A44" s="4" t="s">
        <v>66</v>
      </c>
      <c r="B44" s="35"/>
      <c r="C44" s="35"/>
      <c r="D44" s="9"/>
      <c r="E44" s="35"/>
      <c r="F44" s="35"/>
      <c r="G44" s="9"/>
      <c r="H44" s="21"/>
    </row>
    <row r="45" spans="1:8" s="20" customFormat="1">
      <c r="A45" s="26" t="s">
        <v>8</v>
      </c>
      <c r="B45" s="42">
        <v>31436.86</v>
      </c>
      <c r="C45" s="42">
        <v>31911.050624127005</v>
      </c>
      <c r="D45" s="28">
        <v>0</v>
      </c>
      <c r="E45" s="42">
        <v>85497.679286900006</v>
      </c>
      <c r="F45" s="42">
        <v>105225.374758327</v>
      </c>
      <c r="G45" s="29"/>
      <c r="H45" s="21"/>
    </row>
    <row r="46" spans="1:8" s="20" customFormat="1">
      <c r="A46" s="26" t="s">
        <v>9</v>
      </c>
      <c r="B46" s="42">
        <v>802.56999999999994</v>
      </c>
      <c r="C46" s="42">
        <v>931.55780870000001</v>
      </c>
      <c r="D46" s="28">
        <v>0</v>
      </c>
      <c r="E46" s="42">
        <v>2589.1032107999999</v>
      </c>
      <c r="F46" s="42">
        <v>2945.1764166000003</v>
      </c>
      <c r="G46" s="29"/>
      <c r="H46" s="21"/>
    </row>
    <row r="47" spans="1:8" s="20" customFormat="1">
      <c r="A47" s="27" t="s">
        <v>67</v>
      </c>
      <c r="B47" s="43">
        <v>32239.43</v>
      </c>
      <c r="C47" s="43">
        <v>32842.608432827008</v>
      </c>
      <c r="D47" s="63">
        <v>1.8709461883911871E-2</v>
      </c>
      <c r="E47" s="43">
        <v>88086.782497700013</v>
      </c>
      <c r="F47" s="43">
        <v>108170.55117492701</v>
      </c>
      <c r="G47" s="63">
        <v>0.22799979869569409</v>
      </c>
      <c r="H47" s="21"/>
    </row>
    <row r="48" spans="1:8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29817.772000000001</v>
      </c>
      <c r="C49" s="65">
        <v>31363.950000000004</v>
      </c>
      <c r="D49" s="57"/>
      <c r="E49" s="65">
        <v>100182.39999999999</v>
      </c>
      <c r="F49" s="65">
        <v>107976.98</v>
      </c>
      <c r="G49" s="52"/>
    </row>
    <row r="50" spans="1:7" ht="15.6">
      <c r="A50" s="49" t="s">
        <v>7</v>
      </c>
      <c r="B50" s="65">
        <v>37021.8217</v>
      </c>
      <c r="C50" s="65">
        <v>39394.61</v>
      </c>
      <c r="D50" s="52"/>
      <c r="E50" s="65">
        <v>123484.31000000001</v>
      </c>
      <c r="F50" s="65">
        <v>133451.51999999999</v>
      </c>
      <c r="G50" s="52"/>
    </row>
    <row r="51" spans="1:7" ht="15.6">
      <c r="A51" s="49" t="s">
        <v>8</v>
      </c>
      <c r="B51" s="65">
        <v>74372.070200000002</v>
      </c>
      <c r="C51" s="65">
        <v>75219.040624126996</v>
      </c>
      <c r="D51" s="52"/>
      <c r="E51" s="65">
        <v>229045.62928690002</v>
      </c>
      <c r="F51" s="65">
        <v>262752.094758327</v>
      </c>
      <c r="G51" s="52"/>
    </row>
    <row r="52" spans="1:7" ht="15.6">
      <c r="A52" s="49" t="s">
        <v>9</v>
      </c>
      <c r="B52" s="65">
        <v>12747.464999999998</v>
      </c>
      <c r="C52" s="65">
        <v>13128.297808700001</v>
      </c>
      <c r="D52" s="52"/>
      <c r="E52" s="65">
        <v>37461.383210800006</v>
      </c>
      <c r="F52" s="65">
        <v>38352.226416600002</v>
      </c>
      <c r="G52" s="52" t="s">
        <v>12</v>
      </c>
    </row>
    <row r="53" spans="1:7" ht="15.6">
      <c r="A53" s="18" t="s">
        <v>25</v>
      </c>
      <c r="B53" s="40">
        <v>153959.12889999998</v>
      </c>
      <c r="C53" s="40">
        <v>159105.898432827</v>
      </c>
      <c r="D53" s="66">
        <v>3.3429472119495651E-2</v>
      </c>
      <c r="E53" s="40">
        <v>490173.72249770002</v>
      </c>
      <c r="F53" s="40">
        <v>542532.82117492706</v>
      </c>
      <c r="G53" s="66">
        <v>0.10681743282856759</v>
      </c>
    </row>
    <row r="54" spans="1:7">
      <c r="B54" s="22"/>
      <c r="C54" s="22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191-52EC-458C-9FFE-80B03D5FCE47}">
  <sheetPr>
    <pageSetUpPr fitToPage="1"/>
  </sheetPr>
  <dimension ref="A1:H54"/>
  <sheetViews>
    <sheetView zoomScale="85" zoomScaleNormal="85" workbookViewId="0">
      <selection activeCell="N10" sqref="N10"/>
    </sheetView>
  </sheetViews>
  <sheetFormatPr defaultColWidth="8.77734375" defaultRowHeight="14.4" outlineLevelRow="1"/>
  <cols>
    <col min="1" max="1" width="34.6640625" bestFit="1" customWidth="1"/>
    <col min="2" max="3" width="10.88671875" bestFit="1" customWidth="1"/>
    <col min="4" max="4" width="9.88671875" bestFit="1" customWidth="1"/>
    <col min="5" max="6" width="10.88671875" bestFit="1" customWidth="1"/>
    <col min="7" max="7" width="9.5546875" bestFit="1" customWidth="1"/>
  </cols>
  <sheetData>
    <row r="1" spans="1:8" ht="15.6">
      <c r="A1" s="156" t="s">
        <v>108</v>
      </c>
      <c r="B1" s="157"/>
      <c r="C1" s="157"/>
      <c r="D1" s="157"/>
      <c r="E1" s="157"/>
      <c r="F1" s="157"/>
      <c r="G1" s="158"/>
    </row>
    <row r="2" spans="1:8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8" ht="15.6">
      <c r="A3" s="109" t="s">
        <v>1</v>
      </c>
      <c r="B3" s="110" t="s">
        <v>109</v>
      </c>
      <c r="C3" s="111">
        <v>45839</v>
      </c>
      <c r="D3" s="109" t="s">
        <v>2</v>
      </c>
      <c r="E3" s="111">
        <v>45474</v>
      </c>
      <c r="F3" s="111">
        <v>45839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77">
        <v>32386.3</v>
      </c>
      <c r="C6" s="77">
        <v>35469.99</v>
      </c>
      <c r="D6" s="11"/>
      <c r="E6" s="77">
        <v>141268.03</v>
      </c>
      <c r="F6" s="77">
        <v>154095.10999999999</v>
      </c>
      <c r="G6" s="12"/>
      <c r="H6" s="13"/>
    </row>
    <row r="7" spans="1:8" outlineLevel="1">
      <c r="A7" s="127" t="s">
        <v>7</v>
      </c>
      <c r="B7" s="77">
        <v>40289.39</v>
      </c>
      <c r="C7" s="77">
        <v>44059.18</v>
      </c>
      <c r="D7" s="11"/>
      <c r="E7" s="77">
        <v>174807.81</v>
      </c>
      <c r="F7" s="77">
        <v>190601.05</v>
      </c>
      <c r="G7" s="12"/>
    </row>
    <row r="8" spans="1:8" outlineLevel="1">
      <c r="A8" s="127" t="s">
        <v>8</v>
      </c>
      <c r="B8" s="77">
        <v>49437.29</v>
      </c>
      <c r="C8" s="77">
        <v>51910.22</v>
      </c>
      <c r="D8" s="11"/>
      <c r="E8" s="130">
        <v>206405.6</v>
      </c>
      <c r="F8" s="77">
        <v>228861.49</v>
      </c>
      <c r="G8" s="12"/>
      <c r="H8" s="13"/>
    </row>
    <row r="9" spans="1:8" outlineLevel="1">
      <c r="A9" s="127" t="s">
        <v>9</v>
      </c>
      <c r="B9" s="77">
        <v>11923.39</v>
      </c>
      <c r="C9" s="77">
        <v>11583.77</v>
      </c>
      <c r="D9" s="11"/>
      <c r="E9" s="77">
        <v>47570.94</v>
      </c>
      <c r="F9" s="77">
        <v>47959.58</v>
      </c>
      <c r="G9" s="12"/>
    </row>
    <row r="10" spans="1:8">
      <c r="A10" s="136" t="s">
        <v>20</v>
      </c>
      <c r="B10" s="118">
        <v>134036.37</v>
      </c>
      <c r="C10" s="35">
        <v>143023.16</v>
      </c>
      <c r="D10" s="61">
        <v>6.7047399149947173E-2</v>
      </c>
      <c r="E10" s="73">
        <v>570052.37999999989</v>
      </c>
      <c r="F10" s="73">
        <v>621517.22999999986</v>
      </c>
      <c r="G10" s="61">
        <v>9.02809141854648E-2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77">
        <v>47009.38</v>
      </c>
      <c r="C13" s="77">
        <v>51625.849254180001</v>
      </c>
      <c r="D13" s="11"/>
      <c r="E13" s="34">
        <v>164755.5</v>
      </c>
      <c r="F13" s="34">
        <v>192049.56750628</v>
      </c>
      <c r="G13" s="12"/>
    </row>
    <row r="14" spans="1:8" outlineLevel="1">
      <c r="A14" s="10" t="s">
        <v>9</v>
      </c>
      <c r="B14" s="77">
        <v>1029.5</v>
      </c>
      <c r="C14" s="77">
        <v>1086.2157987999999</v>
      </c>
      <c r="D14" s="11"/>
      <c r="E14" s="34">
        <v>4085.86</v>
      </c>
      <c r="F14" s="34">
        <v>4531.7761929999997</v>
      </c>
      <c r="G14" s="12"/>
    </row>
    <row r="15" spans="1:8">
      <c r="A15" s="14" t="s">
        <v>21</v>
      </c>
      <c r="B15" s="35">
        <v>48038.879999999997</v>
      </c>
      <c r="C15" s="35">
        <v>52712.065052980004</v>
      </c>
      <c r="D15" s="61">
        <v>9.727922576421455E-2</v>
      </c>
      <c r="E15" s="35">
        <v>168841.36</v>
      </c>
      <c r="F15" s="35">
        <v>196581.34369928</v>
      </c>
      <c r="G15" s="63">
        <v>0.16429613987520608</v>
      </c>
    </row>
    <row r="16" spans="1:8">
      <c r="A16" s="4" t="s">
        <v>17</v>
      </c>
      <c r="B16" s="35"/>
      <c r="C16" s="35"/>
      <c r="D16" s="61"/>
      <c r="E16" s="35"/>
      <c r="F16" s="35"/>
      <c r="G16" s="9"/>
    </row>
    <row r="17" spans="1:8" ht="15.6">
      <c r="A17" s="49" t="s">
        <v>6</v>
      </c>
      <c r="B17" s="75">
        <v>32386.3</v>
      </c>
      <c r="C17" s="65">
        <v>35469.99</v>
      </c>
      <c r="D17" s="76"/>
      <c r="E17" s="65">
        <v>141268.03</v>
      </c>
      <c r="F17" s="65">
        <v>154095.10999999999</v>
      </c>
      <c r="G17" s="52"/>
    </row>
    <row r="18" spans="1:8" ht="15.6">
      <c r="A18" s="49" t="s">
        <v>7</v>
      </c>
      <c r="B18" s="75">
        <v>40289.39</v>
      </c>
      <c r="C18" s="65">
        <v>44059.18</v>
      </c>
      <c r="D18" s="76"/>
      <c r="E18" s="65">
        <v>174807.81</v>
      </c>
      <c r="F18" s="65">
        <v>190601.05</v>
      </c>
      <c r="G18" s="52"/>
    </row>
    <row r="19" spans="1:8" ht="15.6">
      <c r="A19" s="49" t="s">
        <v>8</v>
      </c>
      <c r="B19" s="75">
        <v>96446.67</v>
      </c>
      <c r="C19" s="65">
        <v>103536.06925418001</v>
      </c>
      <c r="D19" s="76"/>
      <c r="E19" s="65">
        <v>371161.1</v>
      </c>
      <c r="F19" s="65">
        <v>420911.05750628002</v>
      </c>
      <c r="G19" s="52"/>
    </row>
    <row r="20" spans="1:8" ht="15.6">
      <c r="A20" s="49" t="s">
        <v>9</v>
      </c>
      <c r="B20" s="75">
        <v>12952.89</v>
      </c>
      <c r="C20" s="65">
        <v>12669.9857988</v>
      </c>
      <c r="D20" s="76"/>
      <c r="E20" s="65">
        <v>51656.800000000003</v>
      </c>
      <c r="F20" s="65">
        <v>52491.356193</v>
      </c>
      <c r="G20" s="52"/>
    </row>
    <row r="21" spans="1:8" ht="15.6">
      <c r="A21" s="18" t="s">
        <v>22</v>
      </c>
      <c r="B21" s="40">
        <v>182075.25</v>
      </c>
      <c r="C21" s="40">
        <v>195735.22505298001</v>
      </c>
      <c r="D21" s="66">
        <v>7.5023788532378788E-2</v>
      </c>
      <c r="E21" s="40">
        <v>738893.74</v>
      </c>
      <c r="F21" s="40">
        <v>818098.57369927992</v>
      </c>
      <c r="G21" s="66">
        <v>0.1071938080017838</v>
      </c>
    </row>
    <row r="22" spans="1:8" s="20" customFormat="1" collapsed="1">
      <c r="A22" s="4" t="s">
        <v>15</v>
      </c>
      <c r="B22" s="34"/>
      <c r="C22" s="34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1970.12</v>
      </c>
      <c r="C23" s="59">
        <v>3316.6099999999997</v>
      </c>
      <c r="D23" s="79"/>
      <c r="E23" s="34">
        <v>10669.46</v>
      </c>
      <c r="F23" s="34">
        <v>13962.01</v>
      </c>
      <c r="G23" s="80"/>
    </row>
    <row r="24" spans="1:8" s="20" customFormat="1" outlineLevel="1">
      <c r="A24" s="10" t="s">
        <v>7</v>
      </c>
      <c r="B24" s="77">
        <v>2445.27</v>
      </c>
      <c r="C24" s="59">
        <v>4542.08</v>
      </c>
      <c r="D24" s="79"/>
      <c r="E24" s="34">
        <v>13479.380000000001</v>
      </c>
      <c r="F24" s="34">
        <v>17629.71</v>
      </c>
      <c r="G24" s="80"/>
    </row>
    <row r="25" spans="1:8" s="20" customFormat="1" outlineLevel="1">
      <c r="A25" s="10" t="s">
        <v>8</v>
      </c>
      <c r="B25" s="77">
        <v>3228.35</v>
      </c>
      <c r="C25" s="59">
        <v>8646.65</v>
      </c>
      <c r="D25" s="79"/>
      <c r="E25" s="34">
        <v>16648.71</v>
      </c>
      <c r="F25" s="34">
        <v>28069.910000000003</v>
      </c>
      <c r="G25" s="80"/>
    </row>
    <row r="26" spans="1:8" s="20" customFormat="1" outlineLevel="1">
      <c r="A26" s="10" t="s">
        <v>9</v>
      </c>
      <c r="B26" s="77">
        <v>161.43</v>
      </c>
      <c r="C26" s="59">
        <v>477.71</v>
      </c>
      <c r="D26" s="79"/>
      <c r="E26" s="34">
        <v>936.69</v>
      </c>
      <c r="F26" s="34">
        <v>1446.48</v>
      </c>
      <c r="G26" s="80"/>
    </row>
    <row r="27" spans="1:8" s="20" customFormat="1">
      <c r="A27" s="14" t="s">
        <v>10</v>
      </c>
      <c r="B27" s="78">
        <v>7805.17</v>
      </c>
      <c r="C27" s="35">
        <v>16983.05</v>
      </c>
      <c r="D27" s="63">
        <v>1.1758718900421128</v>
      </c>
      <c r="E27" s="35">
        <v>41734.240000000005</v>
      </c>
      <c r="F27" s="35">
        <v>61108.110000000008</v>
      </c>
      <c r="G27" s="63">
        <v>0.46422002652977512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5"/>
    </row>
    <row r="29" spans="1:8" s="20" customFormat="1" outlineLevel="1">
      <c r="A29" s="10" t="s">
        <v>8</v>
      </c>
      <c r="B29" s="77">
        <v>8335.27</v>
      </c>
      <c r="C29" s="77">
        <v>10014.2847836</v>
      </c>
      <c r="D29" s="79"/>
      <c r="E29" s="34">
        <v>40583.706834099998</v>
      </c>
      <c r="F29" s="34">
        <v>45212.6289015</v>
      </c>
      <c r="G29" s="12"/>
      <c r="H29" s="21"/>
    </row>
    <row r="30" spans="1:8" s="20" customFormat="1" outlineLevel="1">
      <c r="A30" s="10" t="s">
        <v>9</v>
      </c>
      <c r="B30" s="77">
        <v>134.77000000000001</v>
      </c>
      <c r="C30" s="77">
        <v>149.5794022</v>
      </c>
      <c r="D30" s="79"/>
      <c r="E30" s="34">
        <v>602.02616160000002</v>
      </c>
      <c r="F30" s="34">
        <v>649.96118849999993</v>
      </c>
      <c r="G30" s="12"/>
      <c r="H30" s="21"/>
    </row>
    <row r="31" spans="1:8" s="20" customFormat="1">
      <c r="A31" s="14" t="s">
        <v>11</v>
      </c>
      <c r="B31" s="35">
        <v>8470.0400000000009</v>
      </c>
      <c r="C31" s="35">
        <v>10163.864185800001</v>
      </c>
      <c r="D31" s="63">
        <v>0.19997838689622327</v>
      </c>
      <c r="E31" s="35">
        <v>41185.732995699997</v>
      </c>
      <c r="F31" s="35">
        <v>45862.590089999998</v>
      </c>
      <c r="G31" s="63">
        <v>0.11355527154969636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1970.12</v>
      </c>
      <c r="C33" s="42">
        <v>3316.6099999999997</v>
      </c>
      <c r="D33" s="82"/>
      <c r="E33" s="42">
        <v>10669.46</v>
      </c>
      <c r="F33" s="42">
        <v>13962.01</v>
      </c>
      <c r="G33" s="63"/>
      <c r="H33" s="21"/>
    </row>
    <row r="34" spans="1:8" s="20" customFormat="1">
      <c r="A34" s="26" t="s">
        <v>7</v>
      </c>
      <c r="B34" s="42">
        <v>2445.27</v>
      </c>
      <c r="C34" s="42">
        <v>4542.08</v>
      </c>
      <c r="D34" s="82"/>
      <c r="E34" s="42">
        <v>13479.380000000001</v>
      </c>
      <c r="F34" s="42">
        <v>17629.71</v>
      </c>
      <c r="G34" s="63"/>
      <c r="H34" s="21"/>
    </row>
    <row r="35" spans="1:8" s="20" customFormat="1">
      <c r="A35" s="26" t="s">
        <v>8</v>
      </c>
      <c r="B35" s="42">
        <v>11563.62</v>
      </c>
      <c r="C35" s="42">
        <v>18660.934783600002</v>
      </c>
      <c r="D35" s="82"/>
      <c r="E35" s="42">
        <v>57232.416834099997</v>
      </c>
      <c r="F35" s="42">
        <v>73282.538901499996</v>
      </c>
      <c r="G35" s="63"/>
      <c r="H35" s="21"/>
    </row>
    <row r="36" spans="1:8" s="20" customFormat="1">
      <c r="A36" s="26" t="s">
        <v>9</v>
      </c>
      <c r="B36" s="42">
        <v>296.20000000000005</v>
      </c>
      <c r="C36" s="42">
        <v>627.28940220000004</v>
      </c>
      <c r="D36" s="82"/>
      <c r="E36" s="42">
        <v>1538.7161616000001</v>
      </c>
      <c r="F36" s="42">
        <v>2096.4411885</v>
      </c>
      <c r="G36" s="63"/>
      <c r="H36" s="21"/>
    </row>
    <row r="37" spans="1:8" s="20" customFormat="1" ht="15.6">
      <c r="A37" s="30" t="s">
        <v>23</v>
      </c>
      <c r="B37" s="40">
        <v>16275.210000000001</v>
      </c>
      <c r="C37" s="40">
        <v>27146.9141858</v>
      </c>
      <c r="D37" s="70">
        <v>0.66799170202997127</v>
      </c>
      <c r="E37" s="40">
        <v>82919.972995699994</v>
      </c>
      <c r="F37" s="40">
        <v>106970.70009</v>
      </c>
      <c r="G37" s="70">
        <v>0.29004745449624303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30416.18</v>
      </c>
      <c r="C39" s="42">
        <v>32153.379999999997</v>
      </c>
      <c r="D39" s="134">
        <v>0</v>
      </c>
      <c r="E39" s="42">
        <v>130598.57</v>
      </c>
      <c r="F39" s="42">
        <v>140133.09999999998</v>
      </c>
      <c r="G39" s="82"/>
      <c r="H39" s="21"/>
    </row>
    <row r="40" spans="1:8" s="20" customFormat="1">
      <c r="A40" s="26" t="s">
        <v>7</v>
      </c>
      <c r="B40" s="42">
        <v>37844.120000000003</v>
      </c>
      <c r="C40" s="42">
        <v>39517.1</v>
      </c>
      <c r="D40" s="134">
        <v>0</v>
      </c>
      <c r="E40" s="42">
        <v>161328.43</v>
      </c>
      <c r="F40" s="42">
        <v>172971.34</v>
      </c>
      <c r="G40" s="82"/>
      <c r="H40" s="21"/>
    </row>
    <row r="41" spans="1:8" s="20" customFormat="1">
      <c r="A41" s="26" t="s">
        <v>8</v>
      </c>
      <c r="B41" s="42">
        <v>46208.94</v>
      </c>
      <c r="C41" s="42">
        <v>43263.57</v>
      </c>
      <c r="D41" s="134">
        <v>0</v>
      </c>
      <c r="E41" s="42">
        <v>189756.89</v>
      </c>
      <c r="F41" s="42">
        <v>200791.58</v>
      </c>
      <c r="G41" s="82"/>
      <c r="H41" s="21"/>
    </row>
    <row r="42" spans="1:8" s="20" customFormat="1">
      <c r="A42" s="26" t="s">
        <v>9</v>
      </c>
      <c r="B42" s="42">
        <v>11761.96</v>
      </c>
      <c r="C42" s="42">
        <v>11106.060000000001</v>
      </c>
      <c r="D42" s="134">
        <v>0</v>
      </c>
      <c r="E42" s="42">
        <v>46634.25</v>
      </c>
      <c r="F42" s="42">
        <v>46513.1</v>
      </c>
      <c r="G42" s="82"/>
      <c r="H42" s="21"/>
    </row>
    <row r="43" spans="1:8" s="20" customFormat="1">
      <c r="A43" s="27" t="s">
        <v>24</v>
      </c>
      <c r="B43" s="43">
        <v>126231.20000000001</v>
      </c>
      <c r="C43" s="43">
        <v>126040.10999999999</v>
      </c>
      <c r="D43" s="63">
        <v>-1.513809581149661E-3</v>
      </c>
      <c r="E43" s="43">
        <v>528318.14</v>
      </c>
      <c r="F43" s="43">
        <v>560409.11999999988</v>
      </c>
      <c r="G43" s="63">
        <v>6.0741771993670035E-2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38674.11</v>
      </c>
      <c r="C45" s="42">
        <v>41611.56447058</v>
      </c>
      <c r="D45" s="134">
        <v>0</v>
      </c>
      <c r="E45" s="42">
        <v>124171.7931659</v>
      </c>
      <c r="F45" s="42">
        <v>146836.93860478001</v>
      </c>
      <c r="G45" s="82"/>
      <c r="H45" s="21"/>
    </row>
    <row r="46" spans="1:8" s="20" customFormat="1">
      <c r="A46" s="26" t="s">
        <v>9</v>
      </c>
      <c r="B46" s="42">
        <v>894.73</v>
      </c>
      <c r="C46" s="42">
        <v>936.6363965999999</v>
      </c>
      <c r="D46" s="134">
        <v>0</v>
      </c>
      <c r="E46" s="42">
        <v>3483.8338383999999</v>
      </c>
      <c r="F46" s="42">
        <v>3881.8150044999998</v>
      </c>
      <c r="G46" s="82"/>
      <c r="H46" s="21"/>
    </row>
    <row r="47" spans="1:8" s="20" customFormat="1">
      <c r="A47" s="27" t="s">
        <v>67</v>
      </c>
      <c r="B47" s="43">
        <v>39568.840000000004</v>
      </c>
      <c r="C47" s="43">
        <v>42548.200867179999</v>
      </c>
      <c r="D47" s="63">
        <v>7.5295616318235448E-2</v>
      </c>
      <c r="E47" s="43">
        <v>127655.6270043</v>
      </c>
      <c r="F47" s="43">
        <v>150718.75360928001</v>
      </c>
      <c r="G47" s="63">
        <v>0.18066674494656754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30416.18</v>
      </c>
      <c r="C49" s="65">
        <v>32153.379999999997</v>
      </c>
      <c r="D49" s="135"/>
      <c r="E49" s="65">
        <v>130598.57</v>
      </c>
      <c r="F49" s="65">
        <v>140133.09999999998</v>
      </c>
      <c r="G49" s="76"/>
    </row>
    <row r="50" spans="1:7" ht="15.6">
      <c r="A50" s="49" t="s">
        <v>7</v>
      </c>
      <c r="B50" s="65">
        <v>37844.120000000003</v>
      </c>
      <c r="C50" s="65">
        <v>39517.1</v>
      </c>
      <c r="D50" s="76"/>
      <c r="E50" s="65">
        <v>161328.43</v>
      </c>
      <c r="F50" s="65">
        <v>172971.34</v>
      </c>
      <c r="G50" s="76"/>
    </row>
    <row r="51" spans="1:7" ht="15.6">
      <c r="A51" s="49" t="s">
        <v>8</v>
      </c>
      <c r="B51" s="65">
        <v>84883.05</v>
      </c>
      <c r="C51" s="65">
        <v>84875.13447058</v>
      </c>
      <c r="D51" s="76"/>
      <c r="E51" s="65">
        <v>313928.6831659</v>
      </c>
      <c r="F51" s="65">
        <v>347628.51860477997</v>
      </c>
      <c r="G51" s="76"/>
    </row>
    <row r="52" spans="1:7" ht="15.6">
      <c r="A52" s="49" t="s">
        <v>9</v>
      </c>
      <c r="B52" s="65">
        <v>12656.689999999999</v>
      </c>
      <c r="C52" s="65">
        <v>12042.6963966</v>
      </c>
      <c r="D52" s="76"/>
      <c r="E52" s="65">
        <v>50118.083838400002</v>
      </c>
      <c r="F52" s="65">
        <v>50394.915004499999</v>
      </c>
      <c r="G52" s="76" t="s">
        <v>12</v>
      </c>
    </row>
    <row r="53" spans="1:7" ht="15.6">
      <c r="A53" s="18" t="s">
        <v>25</v>
      </c>
      <c r="B53" s="40">
        <v>165800.04</v>
      </c>
      <c r="C53" s="40">
        <v>168588.31086718</v>
      </c>
      <c r="D53" s="66">
        <v>1.6817066095787814E-2</v>
      </c>
      <c r="E53" s="40">
        <v>655973.76700429991</v>
      </c>
      <c r="F53" s="40">
        <v>711127.87360927986</v>
      </c>
      <c r="G53" s="66">
        <v>8.407974431181553E-2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3308-F53F-4345-AEA1-661E41AC5D03}">
  <sheetPr>
    <pageSetUpPr fitToPage="1"/>
  </sheetPr>
  <dimension ref="A1:J54"/>
  <sheetViews>
    <sheetView zoomScale="85" zoomScaleNormal="85" workbookViewId="0">
      <pane ySplit="3" topLeftCell="A4" activePane="bottomLeft" state="frozen"/>
      <selection pane="bottomLeft" activeCell="J17" sqref="J17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110</v>
      </c>
      <c r="B1" s="157"/>
      <c r="C1" s="157"/>
      <c r="D1" s="157"/>
      <c r="E1" s="157"/>
      <c r="F1" s="157"/>
      <c r="G1" s="158"/>
    </row>
    <row r="2" spans="1:10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10" ht="15.6">
      <c r="A3" s="109" t="s">
        <v>1</v>
      </c>
      <c r="B3" s="110" t="s">
        <v>111</v>
      </c>
      <c r="C3" s="111">
        <v>45870</v>
      </c>
      <c r="D3" s="109" t="s">
        <v>2</v>
      </c>
      <c r="E3" s="111">
        <v>45505</v>
      </c>
      <c r="F3" s="111">
        <v>45870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30862.0576</v>
      </c>
      <c r="C6" s="77">
        <v>34076.07</v>
      </c>
      <c r="D6" s="104"/>
      <c r="E6" s="137">
        <v>172130.09</v>
      </c>
      <c r="F6" s="137">
        <v>188171.18</v>
      </c>
      <c r="G6" s="12"/>
      <c r="H6" s="13"/>
      <c r="I6" s="128"/>
    </row>
    <row r="7" spans="1:10" outlineLevel="1">
      <c r="A7" s="127" t="s">
        <v>7</v>
      </c>
      <c r="B7" s="77">
        <v>38410.848400000003</v>
      </c>
      <c r="C7" s="77">
        <v>42854.48</v>
      </c>
      <c r="D7" s="104"/>
      <c r="E7" s="137">
        <v>213218.66</v>
      </c>
      <c r="F7" s="137">
        <v>233455.53</v>
      </c>
      <c r="G7" s="12"/>
      <c r="I7" s="128"/>
    </row>
    <row r="8" spans="1:10" outlineLevel="1">
      <c r="A8" s="127" t="s">
        <v>8</v>
      </c>
      <c r="B8" s="77">
        <v>44592.972099999999</v>
      </c>
      <c r="C8" s="77">
        <v>48639.27</v>
      </c>
      <c r="D8" s="104"/>
      <c r="E8" s="137">
        <v>250998.58</v>
      </c>
      <c r="F8" s="137">
        <v>277500.76</v>
      </c>
      <c r="G8" s="12"/>
      <c r="H8" s="13"/>
      <c r="I8" s="138"/>
    </row>
    <row r="9" spans="1:10" outlineLevel="1">
      <c r="A9" s="127" t="s">
        <v>9</v>
      </c>
      <c r="B9" s="77">
        <v>11119.6567</v>
      </c>
      <c r="C9" s="77">
        <v>11391.75</v>
      </c>
      <c r="D9" s="104"/>
      <c r="E9" s="137">
        <v>58690.6</v>
      </c>
      <c r="F9" s="137">
        <v>59351.34</v>
      </c>
      <c r="G9" s="12"/>
      <c r="I9" s="128"/>
    </row>
    <row r="10" spans="1:10">
      <c r="A10" s="136" t="s">
        <v>20</v>
      </c>
      <c r="B10" s="118">
        <v>124985.53479999999</v>
      </c>
      <c r="C10" s="35">
        <v>136961.57</v>
      </c>
      <c r="D10" s="61">
        <v>9.5819369970804091E-2</v>
      </c>
      <c r="E10" s="139">
        <v>695037.92999999993</v>
      </c>
      <c r="F10" s="139">
        <v>758478.80999999994</v>
      </c>
      <c r="G10" s="61">
        <v>9.127686024272097E-2</v>
      </c>
      <c r="I10" s="22"/>
    </row>
    <row r="11" spans="1:10">
      <c r="A11" s="14"/>
      <c r="B11" s="118"/>
      <c r="C11" s="35"/>
      <c r="D11" s="61"/>
      <c r="E11" s="139"/>
      <c r="F11" s="139"/>
      <c r="G11" s="61"/>
      <c r="I11" s="22"/>
    </row>
    <row r="12" spans="1:10" ht="12.75" customHeight="1" collapsed="1">
      <c r="A12" s="4" t="s">
        <v>14</v>
      </c>
      <c r="B12" s="34"/>
      <c r="C12" s="34"/>
      <c r="D12" s="104"/>
      <c r="E12" s="140"/>
      <c r="F12" s="140"/>
      <c r="G12" s="61"/>
      <c r="I12" s="22"/>
    </row>
    <row r="13" spans="1:10" outlineLevel="1">
      <c r="A13" s="10" t="s">
        <v>8</v>
      </c>
      <c r="B13" s="141">
        <v>49027.83</v>
      </c>
      <c r="C13" s="77">
        <v>48546.490319204</v>
      </c>
      <c r="D13" s="104"/>
      <c r="E13" s="140">
        <v>213783.33000000002</v>
      </c>
      <c r="F13" s="140">
        <v>240596.05857130399</v>
      </c>
      <c r="G13" s="80"/>
      <c r="I13" s="22"/>
    </row>
    <row r="14" spans="1:10" outlineLevel="1">
      <c r="A14" s="10" t="s">
        <v>9</v>
      </c>
      <c r="B14" s="58">
        <v>948.27</v>
      </c>
      <c r="C14" s="77">
        <v>807.33750270000007</v>
      </c>
      <c r="D14" s="104"/>
      <c r="E14" s="140">
        <v>5034.13</v>
      </c>
      <c r="F14" s="140">
        <v>5339.1178969000002</v>
      </c>
      <c r="G14" s="80"/>
    </row>
    <row r="15" spans="1:10">
      <c r="A15" s="14" t="s">
        <v>21</v>
      </c>
      <c r="B15" s="35">
        <v>49976.1</v>
      </c>
      <c r="C15" s="35">
        <v>49353.827821904</v>
      </c>
      <c r="D15" s="61">
        <v>-1.2451395328887171E-2</v>
      </c>
      <c r="E15" s="142">
        <v>218817.46000000002</v>
      </c>
      <c r="F15" s="142">
        <v>245935.17646820398</v>
      </c>
      <c r="G15" s="63">
        <v>0.12392848572597437</v>
      </c>
      <c r="I15" s="48"/>
    </row>
    <row r="16" spans="1:10">
      <c r="A16" s="4" t="s">
        <v>17</v>
      </c>
      <c r="B16" s="35"/>
      <c r="C16" s="35"/>
      <c r="D16" s="61"/>
      <c r="E16" s="143"/>
      <c r="F16" s="143"/>
      <c r="G16" s="61"/>
      <c r="I16" s="22"/>
      <c r="J16" s="113"/>
    </row>
    <row r="17" spans="1:10" ht="15.6">
      <c r="A17" s="49" t="s">
        <v>6</v>
      </c>
      <c r="B17" s="75">
        <v>30862.0576</v>
      </c>
      <c r="C17" s="65">
        <v>34076.07</v>
      </c>
      <c r="D17" s="76"/>
      <c r="E17" s="144">
        <v>172130.09</v>
      </c>
      <c r="F17" s="144">
        <v>188171.18</v>
      </c>
      <c r="G17" s="76"/>
      <c r="I17" s="22"/>
    </row>
    <row r="18" spans="1:10" ht="15.6">
      <c r="A18" s="49" t="s">
        <v>7</v>
      </c>
      <c r="B18" s="75">
        <v>38410.848400000003</v>
      </c>
      <c r="C18" s="65">
        <v>42854.48</v>
      </c>
      <c r="D18" s="76"/>
      <c r="E18" s="144">
        <v>213218.66</v>
      </c>
      <c r="F18" s="144">
        <v>233455.53</v>
      </c>
      <c r="G18" s="76"/>
    </row>
    <row r="19" spans="1:10" ht="15.6">
      <c r="A19" s="49" t="s">
        <v>8</v>
      </c>
      <c r="B19" s="75">
        <v>93620.802100000001</v>
      </c>
      <c r="C19" s="65">
        <v>97185.760319203997</v>
      </c>
      <c r="D19" s="76"/>
      <c r="E19" s="144">
        <v>464781.91000000003</v>
      </c>
      <c r="F19" s="144">
        <v>518096.81857130397</v>
      </c>
      <c r="G19" s="76"/>
    </row>
    <row r="20" spans="1:10" ht="15.6">
      <c r="A20" s="49" t="s">
        <v>9</v>
      </c>
      <c r="B20" s="75">
        <v>12067.9267</v>
      </c>
      <c r="C20" s="65">
        <v>12199.0875027</v>
      </c>
      <c r="D20" s="76"/>
      <c r="E20" s="144">
        <v>63724.729999999996</v>
      </c>
      <c r="F20" s="144">
        <v>64690.457896899999</v>
      </c>
      <c r="G20" s="76"/>
    </row>
    <row r="21" spans="1:10" ht="15.6">
      <c r="A21" s="18" t="s">
        <v>22</v>
      </c>
      <c r="B21" s="40">
        <v>174961.6348</v>
      </c>
      <c r="C21" s="40">
        <v>186315.39782190399</v>
      </c>
      <c r="D21" s="66">
        <v>6.4892872285301717E-2</v>
      </c>
      <c r="E21" s="145">
        <v>913855.39</v>
      </c>
      <c r="F21" s="145">
        <v>1004413.9864682039</v>
      </c>
      <c r="G21" s="66">
        <v>9.9095105701793695E-2</v>
      </c>
    </row>
    <row r="22" spans="1:10" s="20" customFormat="1" collapsed="1">
      <c r="A22" s="4" t="s">
        <v>15</v>
      </c>
      <c r="B22" s="34"/>
      <c r="C22" s="34"/>
      <c r="D22" s="107"/>
      <c r="E22" s="60"/>
      <c r="F22" s="60"/>
      <c r="G22" s="104"/>
      <c r="I22"/>
    </row>
    <row r="23" spans="1:10" s="20" customFormat="1" outlineLevel="1">
      <c r="A23" s="10" t="s">
        <v>6</v>
      </c>
      <c r="B23" s="77">
        <v>3587.7799999999997</v>
      </c>
      <c r="C23" s="59">
        <v>2602.3500000000004</v>
      </c>
      <c r="D23" s="104"/>
      <c r="E23" s="140">
        <v>14257.220000000001</v>
      </c>
      <c r="F23" s="60">
        <v>16560.97</v>
      </c>
      <c r="G23" s="80"/>
      <c r="I23"/>
    </row>
    <row r="24" spans="1:10" s="20" customFormat="1" outlineLevel="1">
      <c r="A24" s="10" t="s">
        <v>7</v>
      </c>
      <c r="B24" s="77">
        <v>4370.72</v>
      </c>
      <c r="C24" s="59">
        <v>3118.17</v>
      </c>
      <c r="D24" s="104"/>
      <c r="E24" s="140">
        <v>17850.11</v>
      </c>
      <c r="F24" s="140">
        <v>20744.14</v>
      </c>
      <c r="G24" s="80"/>
      <c r="I24"/>
    </row>
    <row r="25" spans="1:10" s="20" customFormat="1" outlineLevel="1">
      <c r="A25" s="10" t="s">
        <v>8</v>
      </c>
      <c r="B25" s="77">
        <v>5600.8600000000006</v>
      </c>
      <c r="C25" s="59">
        <v>5001.16</v>
      </c>
      <c r="D25" s="104"/>
      <c r="E25" s="140">
        <v>22249.58</v>
      </c>
      <c r="F25" s="140">
        <v>33065.78</v>
      </c>
      <c r="G25" s="80"/>
      <c r="I25" s="54"/>
    </row>
    <row r="26" spans="1:10" s="20" customFormat="1" outlineLevel="1">
      <c r="A26" s="10" t="s">
        <v>9</v>
      </c>
      <c r="B26" s="77">
        <v>448.75</v>
      </c>
      <c r="C26" s="59">
        <v>291.89</v>
      </c>
      <c r="D26" s="104"/>
      <c r="E26" s="140">
        <v>1385.46</v>
      </c>
      <c r="F26" s="140">
        <v>1738.27</v>
      </c>
      <c r="G26" s="80"/>
      <c r="I26" s="54"/>
    </row>
    <row r="27" spans="1:10" s="20" customFormat="1">
      <c r="A27" s="14" t="s">
        <v>10</v>
      </c>
      <c r="B27" s="78">
        <v>14008.11</v>
      </c>
      <c r="C27" s="35">
        <v>11013.57</v>
      </c>
      <c r="D27" s="63">
        <v>-0.21377187928992569</v>
      </c>
      <c r="E27" s="142">
        <v>55742.37</v>
      </c>
      <c r="F27" s="142">
        <v>72109.16</v>
      </c>
      <c r="G27" s="63">
        <v>0.29361489294409271</v>
      </c>
      <c r="I27" s="21"/>
      <c r="J27" s="81"/>
    </row>
    <row r="28" spans="1:10" s="20" customFormat="1" collapsed="1">
      <c r="A28" s="4" t="s">
        <v>65</v>
      </c>
      <c r="B28" s="34"/>
      <c r="C28" s="34"/>
      <c r="D28" s="104"/>
      <c r="E28" s="140"/>
      <c r="F28" s="143"/>
      <c r="G28" s="104"/>
    </row>
    <row r="29" spans="1:10" s="20" customFormat="1" outlineLevel="1">
      <c r="A29" s="10" t="s">
        <v>8</v>
      </c>
      <c r="B29" s="77">
        <v>10074.31</v>
      </c>
      <c r="C29" s="77">
        <v>8220.8262484000006</v>
      </c>
      <c r="D29" s="104"/>
      <c r="E29" s="140">
        <v>50658.017785099997</v>
      </c>
      <c r="F29" s="140">
        <v>53433.4503663</v>
      </c>
      <c r="G29" s="80"/>
      <c r="H29" s="21"/>
      <c r="I29" s="54"/>
    </row>
    <row r="30" spans="1:10" s="20" customFormat="1" outlineLevel="1">
      <c r="A30" s="10" t="s">
        <v>9</v>
      </c>
      <c r="B30" s="77">
        <v>87.88</v>
      </c>
      <c r="C30" s="77">
        <v>124.9486351</v>
      </c>
      <c r="D30" s="104"/>
      <c r="E30" s="140">
        <v>689.90566020000006</v>
      </c>
      <c r="F30" s="140">
        <v>774.91042140000002</v>
      </c>
      <c r="G30" s="80"/>
      <c r="H30" s="21"/>
      <c r="I30" s="54"/>
    </row>
    <row r="31" spans="1:10" s="20" customFormat="1">
      <c r="A31" s="14" t="s">
        <v>11</v>
      </c>
      <c r="B31" s="35">
        <v>10162.189999999999</v>
      </c>
      <c r="C31" s="35">
        <v>8345.7748835000002</v>
      </c>
      <c r="D31" s="63">
        <v>-0.17874247305010549</v>
      </c>
      <c r="E31" s="142">
        <v>51347.923445299995</v>
      </c>
      <c r="F31" s="142">
        <v>54208.360787700003</v>
      </c>
      <c r="G31" s="63">
        <v>5.570697217088405E-2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61"/>
      <c r="E32" s="143"/>
      <c r="F32" s="143"/>
      <c r="G32" s="61"/>
      <c r="H32" s="21"/>
      <c r="I32"/>
    </row>
    <row r="33" spans="1:9" s="20" customFormat="1">
      <c r="A33" s="25" t="s">
        <v>6</v>
      </c>
      <c r="B33" s="42">
        <v>3587.7799999999997</v>
      </c>
      <c r="C33" s="42">
        <v>2602.3500000000004</v>
      </c>
      <c r="D33" s="82"/>
      <c r="E33" s="146">
        <v>14257.220000000001</v>
      </c>
      <c r="F33" s="146">
        <v>16560.97</v>
      </c>
      <c r="G33" s="63"/>
      <c r="H33" s="21"/>
      <c r="I33"/>
    </row>
    <row r="34" spans="1:9" s="20" customFormat="1">
      <c r="A34" s="26" t="s">
        <v>7</v>
      </c>
      <c r="B34" s="42">
        <v>4370.72</v>
      </c>
      <c r="C34" s="42">
        <v>3118.17</v>
      </c>
      <c r="D34" s="82"/>
      <c r="E34" s="146">
        <v>17850.11</v>
      </c>
      <c r="F34" s="146">
        <v>20744.14</v>
      </c>
      <c r="G34" s="63"/>
      <c r="H34" s="21"/>
      <c r="I34"/>
    </row>
    <row r="35" spans="1:9" s="20" customFormat="1">
      <c r="A35" s="26" t="s">
        <v>8</v>
      </c>
      <c r="B35" s="42">
        <v>15675.17</v>
      </c>
      <c r="C35" s="42">
        <v>13221.9862484</v>
      </c>
      <c r="D35" s="82"/>
      <c r="E35" s="146">
        <v>72907.597785099992</v>
      </c>
      <c r="F35" s="146">
        <v>86499.230366300006</v>
      </c>
      <c r="G35" s="63"/>
      <c r="H35" s="21"/>
      <c r="I35"/>
    </row>
    <row r="36" spans="1:9" s="20" customFormat="1">
      <c r="A36" s="26" t="s">
        <v>9</v>
      </c>
      <c r="B36" s="42">
        <v>536.63</v>
      </c>
      <c r="C36" s="42">
        <v>416.83863509999998</v>
      </c>
      <c r="D36" s="82"/>
      <c r="E36" s="146">
        <v>2075.3656602000001</v>
      </c>
      <c r="F36" s="146">
        <v>2513.1804213999999</v>
      </c>
      <c r="G36" s="63"/>
      <c r="H36" s="21"/>
      <c r="I36"/>
    </row>
    <row r="37" spans="1:9" s="20" customFormat="1" ht="15.6">
      <c r="A37" s="30" t="s">
        <v>23</v>
      </c>
      <c r="B37" s="40">
        <v>24170.3</v>
      </c>
      <c r="C37" s="40">
        <v>19359.344883500002</v>
      </c>
      <c r="D37" s="66">
        <v>-0.19904407375051369</v>
      </c>
      <c r="E37" s="145">
        <v>107090.29344529999</v>
      </c>
      <c r="F37" s="145">
        <v>126317.52078770001</v>
      </c>
      <c r="G37" s="66">
        <v>0.17954220428223011</v>
      </c>
      <c r="H37" s="21"/>
      <c r="I37"/>
    </row>
    <row r="38" spans="1:9" s="20" customFormat="1">
      <c r="A38" s="4" t="s">
        <v>19</v>
      </c>
      <c r="B38" s="35"/>
      <c r="C38" s="35"/>
      <c r="D38" s="61"/>
      <c r="E38" s="143"/>
      <c r="F38" s="143"/>
      <c r="G38" s="61"/>
      <c r="H38" s="21"/>
      <c r="I38"/>
    </row>
    <row r="39" spans="1:9" s="20" customFormat="1">
      <c r="A39" s="25" t="s">
        <v>6</v>
      </c>
      <c r="B39" s="42">
        <v>27274.277600000001</v>
      </c>
      <c r="C39" s="42">
        <v>31473.72</v>
      </c>
      <c r="D39" s="82">
        <v>0</v>
      </c>
      <c r="E39" s="146">
        <v>157872.87</v>
      </c>
      <c r="F39" s="146">
        <v>171610.21</v>
      </c>
      <c r="G39" s="82"/>
      <c r="H39" s="21"/>
      <c r="I39"/>
    </row>
    <row r="40" spans="1:9" s="20" customFormat="1">
      <c r="A40" s="26" t="s">
        <v>7</v>
      </c>
      <c r="B40" s="42">
        <v>34040.128400000001</v>
      </c>
      <c r="C40" s="42">
        <v>39736.310000000005</v>
      </c>
      <c r="D40" s="82">
        <v>0</v>
      </c>
      <c r="E40" s="146">
        <v>195368.55</v>
      </c>
      <c r="F40" s="146">
        <v>212711.39</v>
      </c>
      <c r="G40" s="82"/>
      <c r="H40" s="21"/>
      <c r="I40"/>
    </row>
    <row r="41" spans="1:9" s="20" customFormat="1">
      <c r="A41" s="26" t="s">
        <v>8</v>
      </c>
      <c r="B41" s="42">
        <v>38992.112099999998</v>
      </c>
      <c r="C41" s="42">
        <v>43638.11</v>
      </c>
      <c r="D41" s="82">
        <v>0</v>
      </c>
      <c r="E41" s="146">
        <v>228749</v>
      </c>
      <c r="F41" s="146">
        <v>244434.98</v>
      </c>
      <c r="G41" s="82"/>
      <c r="H41" s="21"/>
      <c r="I41"/>
    </row>
    <row r="42" spans="1:9" s="20" customFormat="1">
      <c r="A42" s="26" t="s">
        <v>9</v>
      </c>
      <c r="B42" s="42">
        <v>10670.9067</v>
      </c>
      <c r="C42" s="42">
        <v>11099.86</v>
      </c>
      <c r="D42" s="82">
        <v>0</v>
      </c>
      <c r="E42" s="146">
        <v>57305.14</v>
      </c>
      <c r="F42" s="146">
        <v>57613.07</v>
      </c>
      <c r="G42" s="82"/>
      <c r="H42" s="21"/>
      <c r="I42"/>
    </row>
    <row r="43" spans="1:9" s="20" customFormat="1">
      <c r="A43" s="27" t="s">
        <v>24</v>
      </c>
      <c r="B43" s="43">
        <v>110977.42480000001</v>
      </c>
      <c r="C43" s="43">
        <v>125948</v>
      </c>
      <c r="D43" s="63">
        <v>0.1348974823211071</v>
      </c>
      <c r="E43" s="147">
        <v>639295.55999999994</v>
      </c>
      <c r="F43" s="147">
        <v>686369.64999999991</v>
      </c>
      <c r="G43" s="63">
        <v>7.3634313993984124E-2</v>
      </c>
      <c r="H43" s="21"/>
      <c r="I43"/>
    </row>
    <row r="44" spans="1:9" s="20" customFormat="1">
      <c r="A44" s="4" t="s">
        <v>66</v>
      </c>
      <c r="B44" s="35"/>
      <c r="C44" s="35"/>
      <c r="D44" s="61"/>
      <c r="E44" s="143"/>
      <c r="F44" s="143"/>
      <c r="G44" s="61"/>
      <c r="H44" s="21"/>
      <c r="I44"/>
    </row>
    <row r="45" spans="1:9" s="20" customFormat="1">
      <c r="A45" s="26" t="s">
        <v>8</v>
      </c>
      <c r="B45" s="42">
        <v>38953.520000000004</v>
      </c>
      <c r="C45" s="42">
        <v>40325.664070803999</v>
      </c>
      <c r="D45" s="82">
        <v>0</v>
      </c>
      <c r="E45" s="146">
        <v>163125.31221490001</v>
      </c>
      <c r="F45" s="146">
        <v>187162.60820500398</v>
      </c>
      <c r="G45" s="82"/>
      <c r="H45" s="21"/>
      <c r="I45"/>
    </row>
    <row r="46" spans="1:9" s="20" customFormat="1">
      <c r="A46" s="26" t="s">
        <v>9</v>
      </c>
      <c r="B46" s="42">
        <v>860.39</v>
      </c>
      <c r="C46" s="42">
        <v>682.38886760000003</v>
      </c>
      <c r="D46" s="82">
        <v>0</v>
      </c>
      <c r="E46" s="146">
        <v>4344.2243398000001</v>
      </c>
      <c r="F46" s="146">
        <v>4564.2074755000003</v>
      </c>
      <c r="G46" s="82"/>
      <c r="H46" s="21"/>
      <c r="I46"/>
    </row>
    <row r="47" spans="1:9" s="20" customFormat="1">
      <c r="A47" s="27" t="s">
        <v>67</v>
      </c>
      <c r="B47" s="43">
        <v>39813.910000000003</v>
      </c>
      <c r="C47" s="43">
        <v>41008.052938403998</v>
      </c>
      <c r="D47" s="63">
        <v>2.9993104355593436E-2</v>
      </c>
      <c r="E47" s="147">
        <v>167469.53655470003</v>
      </c>
      <c r="F47" s="147">
        <v>191726.81568050399</v>
      </c>
      <c r="G47" s="63">
        <v>0.14484592018848086</v>
      </c>
      <c r="H47" s="21"/>
      <c r="I47"/>
    </row>
    <row r="48" spans="1:9">
      <c r="A48" s="4" t="s">
        <v>16</v>
      </c>
      <c r="B48" s="35"/>
      <c r="C48" s="35"/>
      <c r="D48" s="61"/>
      <c r="E48" s="143"/>
      <c r="F48" s="143"/>
      <c r="G48" s="61"/>
    </row>
    <row r="49" spans="1:7" ht="15.6">
      <c r="A49" s="49" t="s">
        <v>6</v>
      </c>
      <c r="B49" s="65">
        <v>27274.277600000001</v>
      </c>
      <c r="C49" s="65">
        <v>31473.72</v>
      </c>
      <c r="D49" s="76"/>
      <c r="E49" s="144">
        <v>157872.87</v>
      </c>
      <c r="F49" s="144">
        <v>171610.21</v>
      </c>
      <c r="G49" s="76"/>
    </row>
    <row r="50" spans="1:7" ht="15.6">
      <c r="A50" s="49" t="s">
        <v>7</v>
      </c>
      <c r="B50" s="65">
        <v>34040.128400000001</v>
      </c>
      <c r="C50" s="65">
        <v>39736.310000000005</v>
      </c>
      <c r="D50" s="76"/>
      <c r="E50" s="144">
        <v>195368.55</v>
      </c>
      <c r="F50" s="144">
        <v>212711.39</v>
      </c>
      <c r="G50" s="76"/>
    </row>
    <row r="51" spans="1:7" ht="15.6">
      <c r="A51" s="49" t="s">
        <v>8</v>
      </c>
      <c r="B51" s="65">
        <v>77945.632100000003</v>
      </c>
      <c r="C51" s="65">
        <v>83963.774070804007</v>
      </c>
      <c r="D51" s="76"/>
      <c r="E51" s="144">
        <v>391874.31221490004</v>
      </c>
      <c r="F51" s="144">
        <v>431597.58820500399</v>
      </c>
      <c r="G51" s="76"/>
    </row>
    <row r="52" spans="1:7" ht="15.6">
      <c r="A52" s="49" t="s">
        <v>9</v>
      </c>
      <c r="B52" s="65">
        <v>11531.296699999999</v>
      </c>
      <c r="C52" s="65">
        <v>11782.248867600001</v>
      </c>
      <c r="D52" s="76"/>
      <c r="E52" s="144">
        <v>61649.364339799999</v>
      </c>
      <c r="F52" s="144">
        <v>62177.277475499999</v>
      </c>
      <c r="G52" s="76" t="s">
        <v>12</v>
      </c>
    </row>
    <row r="53" spans="1:7" ht="15.6">
      <c r="A53" s="18" t="s">
        <v>25</v>
      </c>
      <c r="B53" s="40">
        <v>150791.33480000001</v>
      </c>
      <c r="C53" s="40">
        <v>166956.052938404</v>
      </c>
      <c r="D53" s="66">
        <v>0.10719924964726202</v>
      </c>
      <c r="E53" s="145">
        <v>806765.09655469994</v>
      </c>
      <c r="F53" s="145">
        <v>878096.46568050398</v>
      </c>
      <c r="G53" s="66">
        <v>8.8416528467115896E-2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08FC-914A-4014-AAC0-7422B2BAAD74}">
  <sheetPr>
    <pageSetUpPr fitToPage="1"/>
  </sheetPr>
  <dimension ref="A1:J54"/>
  <sheetViews>
    <sheetView zoomScaleNormal="100" workbookViewId="0">
      <pane ySplit="3" topLeftCell="A16" activePane="bottomLeft" state="frozen"/>
      <selection pane="bottomLeft" activeCell="I26" sqref="I26"/>
    </sheetView>
  </sheetViews>
  <sheetFormatPr defaultColWidth="8.77734375" defaultRowHeight="14.4" outlineLevelRow="1"/>
  <cols>
    <col min="1" max="1" width="36.6640625" bestFit="1" customWidth="1"/>
    <col min="2" max="3" width="10.109375" bestFit="1" customWidth="1"/>
    <col min="4" max="4" width="9.33203125" bestFit="1" customWidth="1"/>
    <col min="5" max="6" width="17.109375" bestFit="1" customWidth="1"/>
    <col min="7" max="7" width="9.3320312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112</v>
      </c>
      <c r="B1" s="157"/>
      <c r="C1" s="157"/>
      <c r="D1" s="157"/>
      <c r="E1" s="157"/>
      <c r="F1" s="157"/>
      <c r="G1" s="158"/>
    </row>
    <row r="2" spans="1:10" ht="15.6">
      <c r="A2" s="108"/>
      <c r="B2" s="159" t="s">
        <v>0</v>
      </c>
      <c r="C2" s="159"/>
      <c r="D2" s="159"/>
      <c r="E2" s="174" t="s">
        <v>78</v>
      </c>
      <c r="F2" s="157"/>
      <c r="G2" s="158"/>
    </row>
    <row r="3" spans="1:10" ht="15.6">
      <c r="A3" s="109" t="s">
        <v>1</v>
      </c>
      <c r="B3" s="110" t="s">
        <v>113</v>
      </c>
      <c r="C3" s="111">
        <v>45901</v>
      </c>
      <c r="D3" s="109" t="s">
        <v>2</v>
      </c>
      <c r="E3" s="110" t="s">
        <v>113</v>
      </c>
      <c r="F3" s="111">
        <v>45901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31421.518700000001</v>
      </c>
      <c r="C6" s="77">
        <v>33645.49</v>
      </c>
      <c r="D6" s="11"/>
      <c r="E6" s="77">
        <v>203551.61</v>
      </c>
      <c r="F6" s="77">
        <v>221816.67</v>
      </c>
      <c r="G6" s="12"/>
      <c r="H6" s="13"/>
      <c r="I6" s="128"/>
    </row>
    <row r="7" spans="1:10" outlineLevel="1">
      <c r="A7" s="127" t="s">
        <v>7</v>
      </c>
      <c r="B7" s="77">
        <v>39282.950100000002</v>
      </c>
      <c r="C7" s="77">
        <v>41835.660000000003</v>
      </c>
      <c r="D7" s="11"/>
      <c r="E7" s="77">
        <v>252501.61</v>
      </c>
      <c r="F7" s="77">
        <v>275291.19</v>
      </c>
      <c r="G7" s="12"/>
      <c r="I7" s="128"/>
    </row>
    <row r="8" spans="1:10" outlineLevel="1">
      <c r="A8" s="127" t="s">
        <v>8</v>
      </c>
      <c r="B8" s="77">
        <v>46086.729800000001</v>
      </c>
      <c r="C8" s="77">
        <v>49852.9</v>
      </c>
      <c r="D8" s="11"/>
      <c r="E8" s="77">
        <v>297085.31</v>
      </c>
      <c r="F8" s="77">
        <v>327353.65000000002</v>
      </c>
      <c r="G8" s="12"/>
      <c r="H8" s="13"/>
      <c r="I8" s="138"/>
    </row>
    <row r="9" spans="1:10" outlineLevel="1">
      <c r="A9" s="127" t="s">
        <v>9</v>
      </c>
      <c r="B9" s="77">
        <v>11058.651299999998</v>
      </c>
      <c r="C9" s="77">
        <v>11190.45</v>
      </c>
      <c r="D9" s="11"/>
      <c r="E9" s="77">
        <v>69749.25</v>
      </c>
      <c r="F9" s="77">
        <v>70541.789999999994</v>
      </c>
      <c r="G9" s="12"/>
      <c r="I9" s="128"/>
    </row>
    <row r="10" spans="1:10">
      <c r="A10" s="136" t="s">
        <v>20</v>
      </c>
      <c r="B10" s="118">
        <v>127849.8499</v>
      </c>
      <c r="C10" s="35">
        <v>136524.5</v>
      </c>
      <c r="D10" s="61">
        <v>6.7850294701166991E-2</v>
      </c>
      <c r="E10" s="73">
        <v>822887.78</v>
      </c>
      <c r="F10" s="73">
        <v>895003.3</v>
      </c>
      <c r="G10" s="61">
        <v>8.7637125927426007E-2</v>
      </c>
      <c r="I10" s="22"/>
    </row>
    <row r="11" spans="1:10">
      <c r="A11" s="14"/>
      <c r="B11" s="118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4"/>
      <c r="C12" s="34"/>
      <c r="D12" s="5"/>
      <c r="E12" s="34"/>
      <c r="F12" s="34"/>
      <c r="G12" s="9"/>
      <c r="I12" s="22"/>
    </row>
    <row r="13" spans="1:10" outlineLevel="1">
      <c r="A13" s="10" t="s">
        <v>8</v>
      </c>
      <c r="B13" s="141">
        <v>44507.44</v>
      </c>
      <c r="C13" s="141">
        <v>52030.524295490999</v>
      </c>
      <c r="D13" s="11"/>
      <c r="E13" s="34">
        <v>258290.77000000002</v>
      </c>
      <c r="F13" s="34">
        <v>292626.58254759101</v>
      </c>
      <c r="G13" s="12"/>
      <c r="I13" s="22"/>
    </row>
    <row r="14" spans="1:10" outlineLevel="1">
      <c r="A14" s="10" t="s">
        <v>9</v>
      </c>
      <c r="B14" s="58">
        <v>882.79</v>
      </c>
      <c r="C14" s="141">
        <v>461.50083559999996</v>
      </c>
      <c r="D14" s="11"/>
      <c r="E14" s="34">
        <v>5916.92</v>
      </c>
      <c r="F14" s="34">
        <v>5800.6212298</v>
      </c>
      <c r="G14" s="12"/>
    </row>
    <row r="15" spans="1:10">
      <c r="A15" s="14" t="s">
        <v>21</v>
      </c>
      <c r="B15" s="35">
        <v>45390.23</v>
      </c>
      <c r="C15" s="35">
        <v>52492.025131091003</v>
      </c>
      <c r="D15" s="61">
        <v>0.15646087563537359</v>
      </c>
      <c r="E15" s="35">
        <v>264207.69</v>
      </c>
      <c r="F15" s="35">
        <v>298427.203777391</v>
      </c>
      <c r="G15" s="63">
        <v>0.12951747837994798</v>
      </c>
      <c r="I15" s="48"/>
    </row>
    <row r="16" spans="1:10">
      <c r="A16" s="4" t="s">
        <v>17</v>
      </c>
      <c r="B16" s="35"/>
      <c r="C16" s="35"/>
      <c r="D16" s="9"/>
      <c r="E16" s="35"/>
      <c r="F16" s="35"/>
      <c r="G16" s="9"/>
      <c r="I16" s="22"/>
      <c r="J16" s="113"/>
    </row>
    <row r="17" spans="1:10" ht="15.6">
      <c r="A17" s="49" t="s">
        <v>6</v>
      </c>
      <c r="B17" s="75">
        <v>31421.518700000001</v>
      </c>
      <c r="C17" s="65">
        <v>33645.49</v>
      </c>
      <c r="D17" s="52"/>
      <c r="E17" s="65">
        <v>203551.61</v>
      </c>
      <c r="F17" s="65">
        <v>221816.67</v>
      </c>
      <c r="G17" s="52"/>
      <c r="I17" s="22"/>
    </row>
    <row r="18" spans="1:10" ht="15.6">
      <c r="A18" s="49" t="s">
        <v>7</v>
      </c>
      <c r="B18" s="75">
        <v>39282.950100000002</v>
      </c>
      <c r="C18" s="65">
        <v>41835.660000000003</v>
      </c>
      <c r="D18" s="52"/>
      <c r="E18" s="65">
        <v>252501.61</v>
      </c>
      <c r="F18" s="65">
        <v>275291.19</v>
      </c>
      <c r="G18" s="52"/>
    </row>
    <row r="19" spans="1:10" ht="15.6">
      <c r="A19" s="49" t="s">
        <v>8</v>
      </c>
      <c r="B19" s="75">
        <v>90594.169800000003</v>
      </c>
      <c r="C19" s="65">
        <v>101883.424295491</v>
      </c>
      <c r="D19" s="52"/>
      <c r="E19" s="65">
        <v>555376.08000000007</v>
      </c>
      <c r="F19" s="65">
        <v>619980.23254759097</v>
      </c>
      <c r="G19" s="52"/>
    </row>
    <row r="20" spans="1:10" ht="15.6">
      <c r="A20" s="49" t="s">
        <v>9</v>
      </c>
      <c r="B20" s="75">
        <v>11941.441299999999</v>
      </c>
      <c r="C20" s="65">
        <v>11651.950835600001</v>
      </c>
      <c r="D20" s="52"/>
      <c r="E20" s="65">
        <v>75666.17</v>
      </c>
      <c r="F20" s="65">
        <v>76342.411229799996</v>
      </c>
      <c r="G20" s="52"/>
    </row>
    <row r="21" spans="1:10" ht="15.6">
      <c r="A21" s="18" t="s">
        <v>22</v>
      </c>
      <c r="B21" s="40">
        <v>173240.07990000001</v>
      </c>
      <c r="C21" s="40">
        <v>189016.52513109098</v>
      </c>
      <c r="D21" s="66">
        <v>9.1066946696693796E-2</v>
      </c>
      <c r="E21" s="40">
        <v>1087095.47</v>
      </c>
      <c r="F21" s="40">
        <v>1193430.5037773908</v>
      </c>
      <c r="G21" s="66">
        <v>9.7815727056052237E-2</v>
      </c>
    </row>
    <row r="22" spans="1:10" s="20" customFormat="1" collapsed="1">
      <c r="A22" s="4" t="s">
        <v>15</v>
      </c>
      <c r="B22" s="34"/>
      <c r="C22" s="34"/>
      <c r="D22" s="114"/>
      <c r="E22" s="59"/>
      <c r="F22" s="59"/>
      <c r="G22" s="84"/>
      <c r="I22"/>
    </row>
    <row r="23" spans="1:10" s="20" customFormat="1" outlineLevel="1">
      <c r="A23" s="10" t="s">
        <v>6</v>
      </c>
      <c r="B23" s="77">
        <v>2644.17</v>
      </c>
      <c r="C23" s="59">
        <v>3398.1099999999997</v>
      </c>
      <c r="D23" s="11"/>
      <c r="E23" s="34">
        <v>16901.41</v>
      </c>
      <c r="F23" s="59">
        <v>19952.27</v>
      </c>
      <c r="G23" s="12"/>
      <c r="I23"/>
    </row>
    <row r="24" spans="1:10" s="20" customFormat="1" outlineLevel="1">
      <c r="A24" s="10" t="s">
        <v>7</v>
      </c>
      <c r="B24" s="77">
        <v>3243.58</v>
      </c>
      <c r="C24" s="59">
        <v>4282.6000000000004</v>
      </c>
      <c r="D24" s="11"/>
      <c r="E24" s="34">
        <v>21093.69</v>
      </c>
      <c r="F24" s="34">
        <v>25017.71</v>
      </c>
      <c r="G24" s="12"/>
      <c r="I24"/>
    </row>
    <row r="25" spans="1:10" s="20" customFormat="1" outlineLevel="1">
      <c r="A25" s="10" t="s">
        <v>8</v>
      </c>
      <c r="B25" s="77">
        <v>4552.99</v>
      </c>
      <c r="C25" s="59">
        <v>7934.82</v>
      </c>
      <c r="D25" s="11"/>
      <c r="E25" s="34">
        <v>26802.560000000001</v>
      </c>
      <c r="F25" s="34">
        <v>40996.959999999999</v>
      </c>
      <c r="G25" s="12"/>
      <c r="I25" s="54"/>
    </row>
    <row r="26" spans="1:10" s="20" customFormat="1" outlineLevel="1">
      <c r="A26" s="10" t="s">
        <v>9</v>
      </c>
      <c r="B26" s="77">
        <v>238.85000000000002</v>
      </c>
      <c r="C26" s="59">
        <v>635.59</v>
      </c>
      <c r="D26" s="11"/>
      <c r="E26" s="34">
        <v>1624.3200000000002</v>
      </c>
      <c r="F26" s="34">
        <v>2373.84</v>
      </c>
      <c r="G26" s="12"/>
      <c r="I26" s="54"/>
    </row>
    <row r="27" spans="1:10" s="20" customFormat="1">
      <c r="A27" s="14" t="s">
        <v>10</v>
      </c>
      <c r="B27" s="78">
        <v>10679.59</v>
      </c>
      <c r="C27" s="35">
        <v>16251.119999999999</v>
      </c>
      <c r="D27" s="63">
        <v>0.52169886671679322</v>
      </c>
      <c r="E27" s="35">
        <v>66421.98000000001</v>
      </c>
      <c r="F27" s="35">
        <v>88340.78</v>
      </c>
      <c r="G27" s="63">
        <v>0.32999317394633509</v>
      </c>
      <c r="I27" s="21"/>
      <c r="J27" s="81"/>
    </row>
    <row r="28" spans="1:10" s="20" customFormat="1" collapsed="1">
      <c r="A28" s="4" t="s">
        <v>65</v>
      </c>
      <c r="B28" s="34"/>
      <c r="C28" s="34"/>
      <c r="D28" s="84"/>
      <c r="E28" s="34"/>
      <c r="F28" s="35"/>
      <c r="G28" s="5"/>
    </row>
    <row r="29" spans="1:10" s="20" customFormat="1" outlineLevel="1">
      <c r="A29" s="10" t="s">
        <v>8</v>
      </c>
      <c r="B29" s="77">
        <v>9579.64</v>
      </c>
      <c r="C29" s="77">
        <v>12242.1672363</v>
      </c>
      <c r="D29" s="11"/>
      <c r="E29" s="34">
        <v>60237.6604104</v>
      </c>
      <c r="F29" s="34">
        <v>65675.621354200004</v>
      </c>
      <c r="G29" s="12"/>
      <c r="H29" s="21"/>
      <c r="I29" s="54"/>
    </row>
    <row r="30" spans="1:10" s="20" customFormat="1" outlineLevel="1">
      <c r="A30" s="10" t="s">
        <v>9</v>
      </c>
      <c r="B30" s="77">
        <v>194.07</v>
      </c>
      <c r="C30" s="77">
        <v>163.57802269999999</v>
      </c>
      <c r="D30" s="11"/>
      <c r="E30" s="34">
        <v>883.97776099999999</v>
      </c>
      <c r="F30" s="34">
        <v>938.48980900000004</v>
      </c>
      <c r="G30" s="12"/>
      <c r="H30" s="21"/>
      <c r="I30" s="54"/>
    </row>
    <row r="31" spans="1:10" s="20" customFormat="1">
      <c r="A31" s="14" t="s">
        <v>11</v>
      </c>
      <c r="B31" s="35">
        <v>9773.7099999999991</v>
      </c>
      <c r="C31" s="35">
        <v>12405.745258999999</v>
      </c>
      <c r="D31" s="63">
        <v>0.26929686712533263</v>
      </c>
      <c r="E31" s="35">
        <v>61121.638171400002</v>
      </c>
      <c r="F31" s="35">
        <v>66614.11116320001</v>
      </c>
      <c r="G31" s="63">
        <v>8.9861351169904458E-2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9"/>
      <c r="E32" s="35"/>
      <c r="F32" s="35"/>
      <c r="G32" s="9"/>
      <c r="H32" s="21"/>
      <c r="I32"/>
    </row>
    <row r="33" spans="1:9" s="20" customFormat="1">
      <c r="A33" s="25" t="s">
        <v>6</v>
      </c>
      <c r="B33" s="42">
        <v>2644.17</v>
      </c>
      <c r="C33" s="42">
        <v>3398.1099999999997</v>
      </c>
      <c r="D33" s="29"/>
      <c r="E33" s="42">
        <v>16901.41</v>
      </c>
      <c r="F33" s="42">
        <v>19952.27</v>
      </c>
      <c r="G33" s="24"/>
      <c r="H33" s="21"/>
      <c r="I33"/>
    </row>
    <row r="34" spans="1:9" s="20" customFormat="1">
      <c r="A34" s="26" t="s">
        <v>7</v>
      </c>
      <c r="B34" s="42">
        <v>3243.58</v>
      </c>
      <c r="C34" s="42">
        <v>4282.6000000000004</v>
      </c>
      <c r="D34" s="29"/>
      <c r="E34" s="42">
        <v>21093.69</v>
      </c>
      <c r="F34" s="42">
        <v>25017.71</v>
      </c>
      <c r="G34" s="24"/>
      <c r="H34" s="21"/>
      <c r="I34"/>
    </row>
    <row r="35" spans="1:9" s="20" customFormat="1">
      <c r="A35" s="26" t="s">
        <v>8</v>
      </c>
      <c r="B35" s="42">
        <v>14132.63</v>
      </c>
      <c r="C35" s="42">
        <v>20176.987236299999</v>
      </c>
      <c r="D35" s="29"/>
      <c r="E35" s="42">
        <v>87040.220410399997</v>
      </c>
      <c r="F35" s="42">
        <v>106672.5813542</v>
      </c>
      <c r="G35" s="24"/>
      <c r="H35" s="21"/>
      <c r="I35"/>
    </row>
    <row r="36" spans="1:9" s="20" customFormat="1">
      <c r="A36" s="26" t="s">
        <v>9</v>
      </c>
      <c r="B36" s="42">
        <v>432.92</v>
      </c>
      <c r="C36" s="42">
        <v>799.16802270000005</v>
      </c>
      <c r="D36" s="29"/>
      <c r="E36" s="42">
        <v>2508.2977610000003</v>
      </c>
      <c r="F36" s="42">
        <v>3312.3298090000003</v>
      </c>
      <c r="G36" s="24"/>
      <c r="H36" s="21"/>
      <c r="I36"/>
    </row>
    <row r="37" spans="1:9" s="20" customFormat="1" ht="15.6">
      <c r="A37" s="30" t="s">
        <v>23</v>
      </c>
      <c r="B37" s="40">
        <v>20453.299999999996</v>
      </c>
      <c r="C37" s="40">
        <v>28656.865258999998</v>
      </c>
      <c r="D37" s="70">
        <v>0.40108730050858976</v>
      </c>
      <c r="E37" s="40">
        <v>127543.61817139998</v>
      </c>
      <c r="F37" s="40">
        <v>154954.89116319999</v>
      </c>
      <c r="G37" s="70">
        <v>0.21491685264066507</v>
      </c>
      <c r="H37" s="21"/>
      <c r="I37"/>
    </row>
    <row r="38" spans="1:9" s="20" customFormat="1">
      <c r="A38" s="4" t="s">
        <v>19</v>
      </c>
      <c r="B38" s="35"/>
      <c r="C38" s="35"/>
      <c r="D38" s="9"/>
      <c r="E38" s="35"/>
      <c r="F38" s="35"/>
      <c r="G38" s="9"/>
      <c r="H38" s="21"/>
      <c r="I38"/>
    </row>
    <row r="39" spans="1:9" s="20" customFormat="1">
      <c r="A39" s="25" t="s">
        <v>6</v>
      </c>
      <c r="B39" s="42">
        <v>28777.348700000002</v>
      </c>
      <c r="C39" s="42">
        <v>30247.379999999997</v>
      </c>
      <c r="D39" s="28">
        <v>0</v>
      </c>
      <c r="E39" s="42">
        <v>186650.19999999998</v>
      </c>
      <c r="F39" s="42">
        <v>201864.40000000002</v>
      </c>
      <c r="G39" s="29"/>
      <c r="H39" s="21"/>
      <c r="I39"/>
    </row>
    <row r="40" spans="1:9" s="20" customFormat="1">
      <c r="A40" s="26" t="s">
        <v>7</v>
      </c>
      <c r="B40" s="42">
        <v>36039.3701</v>
      </c>
      <c r="C40" s="42">
        <v>37553.060000000005</v>
      </c>
      <c r="D40" s="28">
        <v>0</v>
      </c>
      <c r="E40" s="42">
        <v>231407.91999999998</v>
      </c>
      <c r="F40" s="42">
        <v>250273.48</v>
      </c>
      <c r="G40" s="29"/>
      <c r="H40" s="21"/>
      <c r="I40"/>
    </row>
    <row r="41" spans="1:9" s="20" customFormat="1">
      <c r="A41" s="26" t="s">
        <v>8</v>
      </c>
      <c r="B41" s="42">
        <v>41533.739800000003</v>
      </c>
      <c r="C41" s="42">
        <v>41918.080000000002</v>
      </c>
      <c r="D41" s="28">
        <v>0</v>
      </c>
      <c r="E41" s="42">
        <v>270282.75</v>
      </c>
      <c r="F41" s="42">
        <v>286356.69</v>
      </c>
      <c r="G41" s="29"/>
      <c r="H41" s="21"/>
      <c r="I41"/>
    </row>
    <row r="42" spans="1:9" s="20" customFormat="1">
      <c r="A42" s="26" t="s">
        <v>9</v>
      </c>
      <c r="B42" s="42">
        <v>10819.801299999997</v>
      </c>
      <c r="C42" s="42">
        <v>10554.86</v>
      </c>
      <c r="D42" s="28">
        <v>0</v>
      </c>
      <c r="E42" s="42">
        <v>68124.929999999993</v>
      </c>
      <c r="F42" s="42">
        <v>68167.95</v>
      </c>
      <c r="G42" s="29"/>
      <c r="H42" s="21"/>
      <c r="I42"/>
    </row>
    <row r="43" spans="1:9" s="20" customFormat="1">
      <c r="A43" s="27" t="s">
        <v>24</v>
      </c>
      <c r="B43" s="43">
        <v>117170.2599</v>
      </c>
      <c r="C43" s="43">
        <v>120273.38</v>
      </c>
      <c r="D43" s="63">
        <v>2.6483853496612531E-2</v>
      </c>
      <c r="E43" s="43">
        <v>756465.8</v>
      </c>
      <c r="F43" s="43">
        <v>806662.52</v>
      </c>
      <c r="G43" s="63">
        <v>6.6356892803349332E-2</v>
      </c>
      <c r="H43" s="21"/>
      <c r="I43"/>
    </row>
    <row r="44" spans="1:9" s="20" customFormat="1">
      <c r="A44" s="4" t="s">
        <v>66</v>
      </c>
      <c r="B44" s="35"/>
      <c r="C44" s="35"/>
      <c r="D44" s="9"/>
      <c r="E44" s="35"/>
      <c r="F44" s="35"/>
      <c r="G44" s="9"/>
      <c r="H44" s="21"/>
      <c r="I44"/>
    </row>
    <row r="45" spans="1:9" s="20" customFormat="1">
      <c r="A45" s="26" t="s">
        <v>8</v>
      </c>
      <c r="B45" s="42">
        <v>34927.800000000003</v>
      </c>
      <c r="C45" s="42">
        <v>39788.357059190996</v>
      </c>
      <c r="D45" s="28">
        <v>0</v>
      </c>
      <c r="E45" s="42">
        <v>198053.1095896</v>
      </c>
      <c r="F45" s="42">
        <v>226950.96119339101</v>
      </c>
      <c r="G45" s="29"/>
      <c r="H45" s="21"/>
      <c r="I45"/>
    </row>
    <row r="46" spans="1:9" s="20" customFormat="1">
      <c r="A46" s="26" t="s">
        <v>9</v>
      </c>
      <c r="B46" s="42">
        <v>688.72</v>
      </c>
      <c r="C46" s="42">
        <v>297.92281289999994</v>
      </c>
      <c r="D46" s="28">
        <v>0</v>
      </c>
      <c r="E46" s="42">
        <v>5032.942239</v>
      </c>
      <c r="F46" s="42">
        <v>4862.1314208000003</v>
      </c>
      <c r="G46" s="29"/>
      <c r="H46" s="21"/>
      <c r="I46"/>
    </row>
    <row r="47" spans="1:9" s="20" customFormat="1">
      <c r="A47" s="27" t="s">
        <v>67</v>
      </c>
      <c r="B47" s="43">
        <v>35616.520000000004</v>
      </c>
      <c r="C47" s="43">
        <v>40086.279872090992</v>
      </c>
      <c r="D47" s="63">
        <v>0.12549696021824608</v>
      </c>
      <c r="E47" s="43">
        <v>203086.0518286</v>
      </c>
      <c r="F47" s="43">
        <v>231813.092614191</v>
      </c>
      <c r="G47" s="63">
        <v>0.14145255435777515</v>
      </c>
      <c r="H47" s="21"/>
      <c r="I47"/>
    </row>
    <row r="48" spans="1:9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28777.348700000002</v>
      </c>
      <c r="C49" s="65">
        <v>30247.379999999997</v>
      </c>
      <c r="D49" s="57"/>
      <c r="E49" s="65">
        <v>186650.19999999998</v>
      </c>
      <c r="F49" s="65">
        <v>201864.40000000002</v>
      </c>
      <c r="G49" s="52"/>
    </row>
    <row r="50" spans="1:7" ht="15.6">
      <c r="A50" s="49" t="s">
        <v>7</v>
      </c>
      <c r="B50" s="65">
        <v>36039.3701</v>
      </c>
      <c r="C50" s="65">
        <v>37553.060000000005</v>
      </c>
      <c r="D50" s="52"/>
      <c r="E50" s="65">
        <v>231407.91999999998</v>
      </c>
      <c r="F50" s="65">
        <v>250273.48</v>
      </c>
      <c r="G50" s="52"/>
    </row>
    <row r="51" spans="1:7" ht="15.6">
      <c r="A51" s="49" t="s">
        <v>8</v>
      </c>
      <c r="B51" s="65">
        <v>76461.539799999999</v>
      </c>
      <c r="C51" s="65">
        <v>81706.437059190997</v>
      </c>
      <c r="D51" s="52"/>
      <c r="E51" s="65">
        <v>468335.8595896</v>
      </c>
      <c r="F51" s="65">
        <v>513307.65119339101</v>
      </c>
      <c r="G51" s="52"/>
    </row>
    <row r="52" spans="1:7" ht="15.6">
      <c r="A52" s="49" t="s">
        <v>9</v>
      </c>
      <c r="B52" s="65">
        <v>11508.521299999997</v>
      </c>
      <c r="C52" s="65">
        <v>10852.782812900001</v>
      </c>
      <c r="D52" s="52"/>
      <c r="E52" s="65">
        <v>73157.872238999989</v>
      </c>
      <c r="F52" s="65">
        <v>73030.081420799994</v>
      </c>
      <c r="G52" s="52" t="s">
        <v>12</v>
      </c>
    </row>
    <row r="53" spans="1:7" ht="15.6">
      <c r="A53" s="18" t="s">
        <v>25</v>
      </c>
      <c r="B53" s="40">
        <v>152786.77989999999</v>
      </c>
      <c r="C53" s="40">
        <v>160359.659872091</v>
      </c>
      <c r="D53" s="66">
        <v>4.9565051688580608E-2</v>
      </c>
      <c r="E53" s="40">
        <v>959551.85182860005</v>
      </c>
      <c r="F53" s="40">
        <v>1038475.6126141909</v>
      </c>
      <c r="G53" s="66">
        <v>8.2250647148653044E-2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25BB-7221-4A4C-BC93-C6EC797257C4}">
  <sheetPr>
    <pageSetUpPr fitToPage="1"/>
  </sheetPr>
  <dimension ref="A1:J54"/>
  <sheetViews>
    <sheetView zoomScaleNormal="100" workbookViewId="0">
      <pane ySplit="1" topLeftCell="A19" activePane="bottomLeft" state="frozen"/>
      <selection pane="bottomLeft" activeCell="I43" sqref="I43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33203125" bestFit="1" customWidth="1"/>
    <col min="4" max="4" width="14.33203125" customWidth="1"/>
    <col min="5" max="6" width="17.332031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114</v>
      </c>
      <c r="B1" s="157"/>
      <c r="C1" s="157"/>
      <c r="D1" s="157"/>
      <c r="E1" s="157"/>
      <c r="F1" s="157"/>
      <c r="G1" s="158"/>
    </row>
    <row r="2" spans="1:10" ht="15.6">
      <c r="A2" s="108"/>
      <c r="B2" s="159" t="s">
        <v>0</v>
      </c>
      <c r="C2" s="159"/>
      <c r="D2" s="159"/>
      <c r="E2" s="174" t="s">
        <v>78</v>
      </c>
      <c r="F2" s="157"/>
      <c r="G2" s="158"/>
    </row>
    <row r="3" spans="1:10" ht="15.6">
      <c r="A3" s="109" t="s">
        <v>1</v>
      </c>
      <c r="B3" s="110" t="s">
        <v>115</v>
      </c>
      <c r="C3" s="111">
        <v>45931</v>
      </c>
      <c r="D3" s="109" t="s">
        <v>2</v>
      </c>
      <c r="E3" s="110" t="s">
        <v>115</v>
      </c>
      <c r="F3" s="111">
        <v>45931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 t="s">
        <v>71</v>
      </c>
      <c r="F5" s="8" t="s">
        <v>72</v>
      </c>
      <c r="G5" s="9"/>
      <c r="I5" s="22"/>
    </row>
    <row r="6" spans="1:10" outlineLevel="1">
      <c r="A6" s="127" t="s">
        <v>6</v>
      </c>
      <c r="B6" s="77">
        <v>33821.131300000001</v>
      </c>
      <c r="C6" s="77">
        <v>36547.29</v>
      </c>
      <c r="D6" s="11"/>
      <c r="E6" s="67">
        <v>237372.74</v>
      </c>
      <c r="F6" s="67">
        <v>258363.95</v>
      </c>
      <c r="G6" s="12"/>
      <c r="H6" s="13"/>
      <c r="I6" s="128"/>
    </row>
    <row r="7" spans="1:10" outlineLevel="1">
      <c r="A7" s="127" t="s">
        <v>7</v>
      </c>
      <c r="B7" s="77">
        <v>41863.557700000005</v>
      </c>
      <c r="C7" s="77">
        <v>45134.080000000002</v>
      </c>
      <c r="D7" s="11"/>
      <c r="E7" s="67">
        <v>294365.17</v>
      </c>
      <c r="F7" s="67">
        <v>320425.27</v>
      </c>
      <c r="G7" s="12"/>
      <c r="I7" s="128"/>
    </row>
    <row r="8" spans="1:10" outlineLevel="1">
      <c r="A8" s="127" t="s">
        <v>8</v>
      </c>
      <c r="B8" s="77">
        <v>54878.161800000002</v>
      </c>
      <c r="C8" s="77">
        <v>55646.83</v>
      </c>
      <c r="D8" s="11"/>
      <c r="E8" s="67">
        <v>351963.47</v>
      </c>
      <c r="F8" s="67">
        <v>383000.48</v>
      </c>
      <c r="G8" s="12"/>
      <c r="H8" s="13"/>
      <c r="I8" s="138"/>
    </row>
    <row r="9" spans="1:10" outlineLevel="1">
      <c r="A9" s="127" t="s">
        <v>9</v>
      </c>
      <c r="B9" s="77">
        <v>11687.823199999999</v>
      </c>
      <c r="C9" s="77">
        <v>7723.76</v>
      </c>
      <c r="D9" s="11"/>
      <c r="E9" s="67">
        <v>81437.070000000007</v>
      </c>
      <c r="F9" s="67">
        <v>78265.55</v>
      </c>
      <c r="G9" s="12"/>
      <c r="I9" s="128"/>
    </row>
    <row r="10" spans="1:10">
      <c r="A10" s="136" t="s">
        <v>20</v>
      </c>
      <c r="B10" s="118">
        <v>142250.674</v>
      </c>
      <c r="C10" s="35">
        <v>145051.96000000002</v>
      </c>
      <c r="D10" s="61">
        <v>1.9692631324689014E-2</v>
      </c>
      <c r="E10" s="37">
        <v>965138.45</v>
      </c>
      <c r="F10" s="37">
        <v>1040055.25</v>
      </c>
      <c r="G10" s="61">
        <v>7.7622852969954748E-2</v>
      </c>
      <c r="I10" s="22"/>
    </row>
    <row r="11" spans="1:10">
      <c r="A11" s="14"/>
      <c r="B11" s="95"/>
      <c r="C11" s="6"/>
      <c r="D11" s="9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61"/>
      <c r="I12" s="22"/>
    </row>
    <row r="13" spans="1:10" outlineLevel="1">
      <c r="A13" s="10" t="s">
        <v>8</v>
      </c>
      <c r="B13" s="148">
        <v>44233.3</v>
      </c>
      <c r="C13" s="36">
        <v>50796.394906130998</v>
      </c>
      <c r="D13" s="11"/>
      <c r="E13" s="36">
        <v>302524.07</v>
      </c>
      <c r="F13" s="36">
        <v>343422.97315823101</v>
      </c>
      <c r="G13" s="80"/>
      <c r="I13" s="22"/>
    </row>
    <row r="14" spans="1:10" outlineLevel="1">
      <c r="A14" s="10" t="s">
        <v>9</v>
      </c>
      <c r="B14" s="148">
        <v>862.5</v>
      </c>
      <c r="C14" s="36">
        <v>88.017889300000007</v>
      </c>
      <c r="D14" s="11"/>
      <c r="E14" s="36">
        <v>6779.42</v>
      </c>
      <c r="F14" s="36">
        <v>5888.6382835000004</v>
      </c>
      <c r="G14" s="80"/>
    </row>
    <row r="15" spans="1:10">
      <c r="A15" s="14" t="s">
        <v>21</v>
      </c>
      <c r="B15" s="35">
        <v>45095.8</v>
      </c>
      <c r="C15" s="35">
        <v>50884.412795430995</v>
      </c>
      <c r="D15" s="9">
        <v>0.1283625702489144</v>
      </c>
      <c r="E15" s="35">
        <v>309303.49</v>
      </c>
      <c r="F15" s="35">
        <v>349311.61144173099</v>
      </c>
      <c r="G15" s="63">
        <v>0.12934907860797495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61">
        <f>F15/E15-1</f>
        <v>0.12934907860797495</v>
      </c>
      <c r="I16" s="22"/>
      <c r="J16" s="113"/>
    </row>
    <row r="17" spans="1:10" ht="15.6">
      <c r="A17" s="49" t="s">
        <v>6</v>
      </c>
      <c r="B17" s="64">
        <v>33821.131300000001</v>
      </c>
      <c r="C17" s="65">
        <v>36547.29</v>
      </c>
      <c r="D17" s="52"/>
      <c r="E17" s="65">
        <v>237372.74</v>
      </c>
      <c r="F17" s="65">
        <v>258363.95</v>
      </c>
      <c r="G17" s="52"/>
      <c r="I17" s="22"/>
    </row>
    <row r="18" spans="1:10" ht="15.6">
      <c r="A18" s="49" t="s">
        <v>7</v>
      </c>
      <c r="B18" s="64">
        <v>41863.557700000005</v>
      </c>
      <c r="C18" s="65">
        <v>45134.080000000002</v>
      </c>
      <c r="D18" s="52"/>
      <c r="E18" s="65">
        <v>294365.17</v>
      </c>
      <c r="F18" s="65">
        <v>320425.27</v>
      </c>
      <c r="G18" s="52"/>
    </row>
    <row r="19" spans="1:10" ht="15.6">
      <c r="A19" s="49" t="s">
        <v>8</v>
      </c>
      <c r="B19" s="64">
        <v>99111.461800000005</v>
      </c>
      <c r="C19" s="65">
        <v>106443.224906131</v>
      </c>
      <c r="D19" s="52"/>
      <c r="E19" s="65">
        <v>654487.54</v>
      </c>
      <c r="F19" s="65">
        <v>726423.45315823099</v>
      </c>
      <c r="G19" s="52"/>
    </row>
    <row r="20" spans="1:10" ht="15.6">
      <c r="A20" s="49" t="s">
        <v>9</v>
      </c>
      <c r="B20" s="64">
        <v>12550.323199999999</v>
      </c>
      <c r="C20" s="65">
        <v>7811.7778893000004</v>
      </c>
      <c r="D20" s="52"/>
      <c r="E20" s="65">
        <v>88216.49</v>
      </c>
      <c r="F20" s="65">
        <v>84154.1882835</v>
      </c>
      <c r="G20" s="52"/>
    </row>
    <row r="21" spans="1:10" ht="15.6">
      <c r="A21" s="18" t="s">
        <v>22</v>
      </c>
      <c r="B21" s="40">
        <v>187346.47399999999</v>
      </c>
      <c r="C21" s="40">
        <v>195936.37279543097</v>
      </c>
      <c r="D21" s="66">
        <v>4.585035840510332E-2</v>
      </c>
      <c r="E21" s="40">
        <v>1274441.94</v>
      </c>
      <c r="F21" s="40">
        <v>1389366.861441731</v>
      </c>
      <c r="G21" s="66">
        <v>9.0176663082612407E-2</v>
      </c>
    </row>
    <row r="22" spans="1:10" s="20" customFormat="1" collapsed="1">
      <c r="A22" s="4" t="s">
        <v>15</v>
      </c>
      <c r="B22" s="11"/>
      <c r="C22" s="11"/>
      <c r="D22" s="61"/>
      <c r="E22" s="94"/>
      <c r="F22" s="94"/>
      <c r="G22" s="61"/>
      <c r="I22"/>
    </row>
    <row r="23" spans="1:10" s="20" customFormat="1" outlineLevel="1">
      <c r="A23" s="10" t="s">
        <v>6</v>
      </c>
      <c r="B23" s="67">
        <v>2516.12</v>
      </c>
      <c r="C23" s="41">
        <v>2973.26</v>
      </c>
      <c r="D23" s="79"/>
      <c r="E23" s="36">
        <v>19417.52</v>
      </c>
      <c r="F23" s="36">
        <v>22924.949999999997</v>
      </c>
      <c r="G23" s="80"/>
      <c r="I23"/>
    </row>
    <row r="24" spans="1:10" s="20" customFormat="1" outlineLevel="1">
      <c r="A24" s="10" t="s">
        <v>7</v>
      </c>
      <c r="B24" s="67">
        <v>3141.17</v>
      </c>
      <c r="C24" s="41">
        <v>4289.67</v>
      </c>
      <c r="D24" s="79"/>
      <c r="E24" s="36">
        <v>24234.86</v>
      </c>
      <c r="F24" s="36">
        <v>29306.75</v>
      </c>
      <c r="G24" s="80"/>
      <c r="I24"/>
    </row>
    <row r="25" spans="1:10" s="20" customFormat="1" outlineLevel="1">
      <c r="A25" s="10" t="s">
        <v>8</v>
      </c>
      <c r="B25" s="67">
        <v>4533.63</v>
      </c>
      <c r="C25" s="41">
        <v>5504.86</v>
      </c>
      <c r="D25" s="79"/>
      <c r="E25" s="36">
        <v>31336.190000000002</v>
      </c>
      <c r="F25" s="36">
        <v>46493.509999999995</v>
      </c>
      <c r="G25" s="80"/>
      <c r="I25" s="54"/>
    </row>
    <row r="26" spans="1:10" s="20" customFormat="1" outlineLevel="1">
      <c r="A26" s="10" t="s">
        <v>9</v>
      </c>
      <c r="B26" s="67">
        <v>293.33000000000004</v>
      </c>
      <c r="C26" s="41">
        <v>492.11</v>
      </c>
      <c r="D26" s="79"/>
      <c r="E26" s="36">
        <v>1917.6599999999999</v>
      </c>
      <c r="F26" s="36">
        <v>2865.9500000000003</v>
      </c>
      <c r="G26" s="80"/>
      <c r="I26" s="54"/>
    </row>
    <row r="27" spans="1:10" s="20" customFormat="1">
      <c r="A27" s="14" t="s">
        <v>10</v>
      </c>
      <c r="B27" s="69">
        <v>10484.25</v>
      </c>
      <c r="C27" s="35">
        <v>13259.900000000001</v>
      </c>
      <c r="D27" s="63">
        <v>0.2647447361518469</v>
      </c>
      <c r="E27" s="35">
        <v>76906.23000000001</v>
      </c>
      <c r="F27" s="35">
        <v>101591.15999999999</v>
      </c>
      <c r="G27" s="63">
        <v>0.32097438660040911</v>
      </c>
      <c r="I27" s="21"/>
      <c r="J27" s="81"/>
    </row>
    <row r="28" spans="1:10" s="20" customFormat="1" collapsed="1">
      <c r="A28" s="4" t="s">
        <v>65</v>
      </c>
      <c r="B28" s="11"/>
      <c r="C28" s="11"/>
      <c r="D28" s="9"/>
      <c r="E28" s="5"/>
      <c r="F28" s="4"/>
      <c r="G28" s="61"/>
    </row>
    <row r="29" spans="1:10" s="20" customFormat="1" outlineLevel="1">
      <c r="A29" s="10" t="s">
        <v>8</v>
      </c>
      <c r="B29" s="67">
        <v>8605.73</v>
      </c>
      <c r="C29" s="149">
        <v>13463.382019000001</v>
      </c>
      <c r="D29" s="11"/>
      <c r="E29" s="36">
        <v>68843.391328500002</v>
      </c>
      <c r="F29" s="36">
        <v>79139.006136900003</v>
      </c>
      <c r="G29" s="80"/>
      <c r="H29" s="21"/>
      <c r="I29" s="54"/>
    </row>
    <row r="30" spans="1:10" s="20" customFormat="1" outlineLevel="1">
      <c r="A30" s="10" t="s">
        <v>9</v>
      </c>
      <c r="B30" s="67">
        <v>202.28</v>
      </c>
      <c r="C30" s="67">
        <v>211.13600930000001</v>
      </c>
      <c r="D30" s="11"/>
      <c r="E30" s="36">
        <v>1086.2547485</v>
      </c>
      <c r="F30" s="36">
        <v>1149.6277956000001</v>
      </c>
      <c r="G30" s="80"/>
      <c r="H30" s="21"/>
      <c r="I30" s="54"/>
    </row>
    <row r="31" spans="1:10" s="20" customFormat="1">
      <c r="A31" s="14" t="s">
        <v>11</v>
      </c>
      <c r="B31" s="35">
        <v>8808.01</v>
      </c>
      <c r="C31" s="35">
        <v>13674.518028300001</v>
      </c>
      <c r="D31" s="63">
        <v>0.55250893395194356</v>
      </c>
      <c r="E31" s="35">
        <v>69929.646076999998</v>
      </c>
      <c r="F31" s="35">
        <v>80288.633932500001</v>
      </c>
      <c r="G31" s="63">
        <v>0.14813442419104561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61"/>
      <c r="H32" s="21"/>
      <c r="I32"/>
    </row>
    <row r="33" spans="1:9" s="20" customFormat="1">
      <c r="A33" s="25" t="s">
        <v>6</v>
      </c>
      <c r="B33" s="42">
        <v>2516.12</v>
      </c>
      <c r="C33" s="42">
        <v>2973.26</v>
      </c>
      <c r="D33" s="29"/>
      <c r="E33" s="42">
        <v>19417.52</v>
      </c>
      <c r="F33" s="42">
        <v>22924.949999999997</v>
      </c>
      <c r="G33" s="63"/>
      <c r="H33" s="21"/>
      <c r="I33"/>
    </row>
    <row r="34" spans="1:9" s="20" customFormat="1">
      <c r="A34" s="26" t="s">
        <v>7</v>
      </c>
      <c r="B34" s="42">
        <v>3141.17</v>
      </c>
      <c r="C34" s="42">
        <v>4289.67</v>
      </c>
      <c r="D34" s="29"/>
      <c r="E34" s="42">
        <v>24234.86</v>
      </c>
      <c r="F34" s="42">
        <v>29306.75</v>
      </c>
      <c r="G34" s="63"/>
      <c r="H34" s="21"/>
      <c r="I34"/>
    </row>
    <row r="35" spans="1:9" s="20" customFormat="1">
      <c r="A35" s="26" t="s">
        <v>8</v>
      </c>
      <c r="B35" s="42">
        <v>13139.36</v>
      </c>
      <c r="C35" s="42">
        <v>18968.242019000001</v>
      </c>
      <c r="D35" s="29"/>
      <c r="E35" s="42">
        <v>100179.5813285</v>
      </c>
      <c r="F35" s="42">
        <v>125632.5161369</v>
      </c>
      <c r="G35" s="63"/>
      <c r="H35" s="21"/>
      <c r="I35"/>
    </row>
    <row r="36" spans="1:9" s="20" customFormat="1">
      <c r="A36" s="26" t="s">
        <v>9</v>
      </c>
      <c r="B36" s="42">
        <v>495.61</v>
      </c>
      <c r="C36" s="42">
        <v>703.24600929999997</v>
      </c>
      <c r="D36" s="29"/>
      <c r="E36" s="42">
        <v>3003.9147484999999</v>
      </c>
      <c r="F36" s="42">
        <v>4015.5777956000002</v>
      </c>
      <c r="G36" s="63"/>
      <c r="H36" s="21"/>
      <c r="I36"/>
    </row>
    <row r="37" spans="1:9" s="20" customFormat="1" ht="15.6">
      <c r="A37" s="30" t="s">
        <v>23</v>
      </c>
      <c r="B37" s="40">
        <v>19292.260000000002</v>
      </c>
      <c r="C37" s="40">
        <v>26934.418028300002</v>
      </c>
      <c r="D37" s="70">
        <v>0.39612542021598141</v>
      </c>
      <c r="E37" s="40">
        <v>146835.87607700002</v>
      </c>
      <c r="F37" s="40">
        <v>181879.7939325</v>
      </c>
      <c r="G37" s="70">
        <v>0.23866046086123482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61"/>
      <c r="H38" s="21"/>
      <c r="I38"/>
    </row>
    <row r="39" spans="1:9" s="20" customFormat="1">
      <c r="A39" s="25" t="s">
        <v>6</v>
      </c>
      <c r="B39" s="42">
        <v>31305.011300000002</v>
      </c>
      <c r="C39" s="42">
        <v>33574.03</v>
      </c>
      <c r="D39" s="28"/>
      <c r="E39" s="42">
        <v>217955.22</v>
      </c>
      <c r="F39" s="42">
        <v>235439</v>
      </c>
      <c r="G39" s="82"/>
      <c r="H39" s="21"/>
      <c r="I39"/>
    </row>
    <row r="40" spans="1:9" s="20" customFormat="1">
      <c r="A40" s="26" t="s">
        <v>7</v>
      </c>
      <c r="B40" s="42">
        <v>38722.387700000007</v>
      </c>
      <c r="C40" s="42">
        <v>40844.410000000003</v>
      </c>
      <c r="D40" s="28"/>
      <c r="E40" s="42">
        <v>270130.31</v>
      </c>
      <c r="F40" s="42">
        <v>291118.52</v>
      </c>
      <c r="G40" s="82"/>
      <c r="H40" s="21"/>
      <c r="I40"/>
    </row>
    <row r="41" spans="1:9" s="20" customFormat="1">
      <c r="A41" s="26" t="s">
        <v>8</v>
      </c>
      <c r="B41" s="42">
        <v>50344.531800000004</v>
      </c>
      <c r="C41" s="42">
        <v>50141.97</v>
      </c>
      <c r="D41" s="28"/>
      <c r="E41" s="42">
        <v>320627.27999999997</v>
      </c>
      <c r="F41" s="42">
        <v>336506.97</v>
      </c>
      <c r="G41" s="82"/>
      <c r="H41" s="21"/>
      <c r="I41"/>
    </row>
    <row r="42" spans="1:9" s="20" customFormat="1">
      <c r="A42" s="26" t="s">
        <v>9</v>
      </c>
      <c r="B42" s="42">
        <v>11394.493199999999</v>
      </c>
      <c r="C42" s="42">
        <v>7231.6500000000005</v>
      </c>
      <c r="D42" s="28"/>
      <c r="E42" s="42">
        <v>79519.41</v>
      </c>
      <c r="F42" s="42">
        <v>75399.600000000006</v>
      </c>
      <c r="G42" s="82"/>
      <c r="H42" s="21"/>
      <c r="I42"/>
    </row>
    <row r="43" spans="1:9" s="20" customFormat="1">
      <c r="A43" s="27" t="s">
        <v>24</v>
      </c>
      <c r="B43" s="43">
        <v>131766.424</v>
      </c>
      <c r="C43" s="43">
        <v>131792.06</v>
      </c>
      <c r="D43" s="63">
        <v>1.945867543491353E-4</v>
      </c>
      <c r="E43" s="43">
        <v>888232.22000000009</v>
      </c>
      <c r="F43" s="43">
        <v>938464.09</v>
      </c>
      <c r="G43" s="63">
        <v>5.6552632148381132E-2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4"/>
      <c r="F44" s="4"/>
      <c r="G44" s="61"/>
      <c r="H44" s="21"/>
      <c r="I44"/>
    </row>
    <row r="45" spans="1:9" s="20" customFormat="1">
      <c r="A45" s="26" t="s">
        <v>8</v>
      </c>
      <c r="B45" s="42">
        <v>35627.570000000007</v>
      </c>
      <c r="C45" s="42">
        <v>37333.012887131001</v>
      </c>
      <c r="D45" s="134"/>
      <c r="E45" s="42">
        <v>233680.67867150001</v>
      </c>
      <c r="F45" s="42">
        <v>264283.96702133102</v>
      </c>
      <c r="G45" s="82"/>
      <c r="H45" s="21"/>
      <c r="I45"/>
    </row>
    <row r="46" spans="1:9" s="20" customFormat="1">
      <c r="A46" s="26" t="s">
        <v>9</v>
      </c>
      <c r="B46" s="42">
        <v>660.22</v>
      </c>
      <c r="C46" s="42">
        <v>-123.11812</v>
      </c>
      <c r="D46" s="134"/>
      <c r="E46" s="42">
        <v>5693.1652515000005</v>
      </c>
      <c r="F46" s="42">
        <v>4739.0104879</v>
      </c>
      <c r="G46" s="82"/>
      <c r="H46" s="21"/>
      <c r="I46"/>
    </row>
    <row r="47" spans="1:9" s="20" customFormat="1">
      <c r="A47" s="27" t="s">
        <v>67</v>
      </c>
      <c r="B47" s="43">
        <v>36287.790000000008</v>
      </c>
      <c r="C47" s="43">
        <v>37209.894767131002</v>
      </c>
      <c r="D47" s="63">
        <v>2.5410951880516564E-2</v>
      </c>
      <c r="E47" s="43">
        <v>239373.84392300001</v>
      </c>
      <c r="F47" s="43">
        <v>269022.97750923102</v>
      </c>
      <c r="G47" s="63">
        <v>0.12386120847759918</v>
      </c>
      <c r="H47" s="21"/>
      <c r="I47"/>
    </row>
    <row r="48" spans="1:9">
      <c r="A48" s="4" t="s">
        <v>16</v>
      </c>
      <c r="B48" s="132"/>
      <c r="C48" s="132"/>
      <c r="D48" s="61"/>
      <c r="E48" s="4"/>
      <c r="F48" s="4"/>
      <c r="G48" s="61"/>
    </row>
    <row r="49" spans="1:7" ht="15.6">
      <c r="A49" s="49" t="s">
        <v>6</v>
      </c>
      <c r="B49" s="65">
        <v>31305.011300000002</v>
      </c>
      <c r="C49" s="65">
        <v>33574.03</v>
      </c>
      <c r="D49" s="135"/>
      <c r="E49" s="65">
        <v>217955.22</v>
      </c>
      <c r="F49" s="65">
        <v>235439</v>
      </c>
      <c r="G49" s="76"/>
    </row>
    <row r="50" spans="1:7" ht="15.6">
      <c r="A50" s="49" t="s">
        <v>7</v>
      </c>
      <c r="B50" s="65">
        <v>38722.387700000007</v>
      </c>
      <c r="C50" s="65">
        <v>40844.410000000003</v>
      </c>
      <c r="D50" s="76"/>
      <c r="E50" s="65">
        <v>270130.31</v>
      </c>
      <c r="F50" s="65">
        <v>291118.52</v>
      </c>
      <c r="G50" s="76"/>
    </row>
    <row r="51" spans="1:7" ht="15.6">
      <c r="A51" s="49" t="s">
        <v>8</v>
      </c>
      <c r="B51" s="65">
        <v>85972.101800000004</v>
      </c>
      <c r="C51" s="65">
        <v>87474.982887131002</v>
      </c>
      <c r="D51" s="76"/>
      <c r="E51" s="65">
        <v>554307.95867149998</v>
      </c>
      <c r="F51" s="65">
        <v>600790.93702133093</v>
      </c>
      <c r="G51" s="76"/>
    </row>
    <row r="52" spans="1:7" ht="15.6">
      <c r="A52" s="49" t="s">
        <v>9</v>
      </c>
      <c r="B52" s="65">
        <v>12054.713199999998</v>
      </c>
      <c r="C52" s="65">
        <v>7108.5318800000005</v>
      </c>
      <c r="D52" s="76"/>
      <c r="E52" s="65">
        <v>85212.575251500006</v>
      </c>
      <c r="F52" s="65">
        <v>80138.610487900005</v>
      </c>
      <c r="G52" s="76" t="s">
        <v>12</v>
      </c>
    </row>
    <row r="53" spans="1:7" ht="15.6">
      <c r="A53" s="18" t="s">
        <v>25</v>
      </c>
      <c r="B53" s="40">
        <v>168054.21400000001</v>
      </c>
      <c r="C53" s="40">
        <v>169001.95476713098</v>
      </c>
      <c r="D53" s="66">
        <v>5.6395328446796622E-3</v>
      </c>
      <c r="E53" s="40">
        <v>1127606.0639229999</v>
      </c>
      <c r="F53" s="40">
        <v>1207487.0675092309</v>
      </c>
      <c r="G53" s="66">
        <v>7.0841232715901592E-2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FFE-427B-4F95-B2B8-2752103C5201}">
  <sheetPr>
    <pageSetUpPr fitToPage="1"/>
  </sheetPr>
  <dimension ref="A1:J54"/>
  <sheetViews>
    <sheetView tabSelected="1" zoomScale="80" zoomScaleNormal="80" workbookViewId="0">
      <selection activeCell="C30" sqref="C30"/>
    </sheetView>
  </sheetViews>
  <sheetFormatPr defaultColWidth="8.77734375" defaultRowHeight="14.4" outlineLevelRow="1"/>
  <cols>
    <col min="1" max="1" width="38.44140625" customWidth="1"/>
    <col min="2" max="3" width="18.33203125" bestFit="1" customWidth="1"/>
    <col min="4" max="4" width="14.332031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116</v>
      </c>
      <c r="B1" s="157"/>
      <c r="C1" s="157"/>
      <c r="D1" s="157"/>
      <c r="E1" s="157"/>
      <c r="F1" s="157"/>
      <c r="G1" s="158"/>
    </row>
    <row r="2" spans="1:10" ht="15.6">
      <c r="A2" s="108"/>
      <c r="B2" s="175" t="s">
        <v>117</v>
      </c>
      <c r="C2" s="176"/>
      <c r="D2" s="177"/>
      <c r="E2" s="175" t="s">
        <v>78</v>
      </c>
      <c r="F2" s="176"/>
      <c r="G2" s="177"/>
    </row>
    <row r="3" spans="1:10" ht="15.6">
      <c r="A3" s="109" t="s">
        <v>1</v>
      </c>
      <c r="B3" s="111">
        <v>45597</v>
      </c>
      <c r="C3" s="111">
        <v>45962</v>
      </c>
      <c r="D3" s="109" t="s">
        <v>2</v>
      </c>
      <c r="E3" s="111">
        <v>45597</v>
      </c>
      <c r="F3" s="111">
        <v>45962</v>
      </c>
      <c r="G3" s="109" t="s">
        <v>2</v>
      </c>
    </row>
    <row r="4" spans="1:10" ht="15.6">
      <c r="A4" s="109" t="s">
        <v>3</v>
      </c>
      <c r="B4" s="109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150">
        <v>34140.97</v>
      </c>
      <c r="C6" s="150">
        <v>34843.31</v>
      </c>
      <c r="D6" s="11"/>
      <c r="E6" s="150">
        <v>271513.71000000002</v>
      </c>
      <c r="F6" s="150">
        <v>293207.26</v>
      </c>
      <c r="G6" s="12"/>
      <c r="H6" s="13"/>
      <c r="I6" s="128"/>
    </row>
    <row r="7" spans="1:10" outlineLevel="1">
      <c r="A7" s="127" t="s">
        <v>7</v>
      </c>
      <c r="B7" s="150">
        <v>43046.84</v>
      </c>
      <c r="C7" s="150">
        <v>42522.400000000001</v>
      </c>
      <c r="D7" s="11"/>
      <c r="E7" s="150">
        <v>337412.01</v>
      </c>
      <c r="F7" s="150">
        <v>362947.67</v>
      </c>
      <c r="G7" s="12"/>
      <c r="I7" s="128"/>
    </row>
    <row r="8" spans="1:10" outlineLevel="1">
      <c r="A8" s="127" t="s">
        <v>8</v>
      </c>
      <c r="B8" s="150">
        <v>50092.72</v>
      </c>
      <c r="C8" s="150">
        <v>46933.89</v>
      </c>
      <c r="D8" s="11"/>
      <c r="E8" s="150">
        <v>402056.18</v>
      </c>
      <c r="F8" s="150">
        <v>429934.37</v>
      </c>
      <c r="G8" s="12"/>
      <c r="H8" s="13"/>
      <c r="I8" s="138"/>
    </row>
    <row r="9" spans="1:10" outlineLevel="1">
      <c r="A9" s="127" t="s">
        <v>9</v>
      </c>
      <c r="B9" s="150">
        <v>12397.62</v>
      </c>
      <c r="C9" s="150">
        <v>4736.96</v>
      </c>
      <c r="D9" s="11"/>
      <c r="E9" s="150">
        <v>93834.7</v>
      </c>
      <c r="F9" s="150">
        <v>83002.509999999995</v>
      </c>
      <c r="G9" s="12"/>
      <c r="I9" s="128"/>
    </row>
    <row r="10" spans="1:10">
      <c r="A10" s="136" t="s">
        <v>20</v>
      </c>
      <c r="B10" s="6">
        <v>139678.15</v>
      </c>
      <c r="C10" s="6">
        <v>129036.56</v>
      </c>
      <c r="D10" s="9">
        <v>-7.6186504474751393E-2</v>
      </c>
      <c r="E10" s="8">
        <v>1104816.5999999999</v>
      </c>
      <c r="F10" s="8">
        <v>1169091.8099999998</v>
      </c>
      <c r="G10" s="9">
        <v>5.8177266706528563E-2</v>
      </c>
      <c r="I10" s="22"/>
    </row>
    <row r="11" spans="1:10">
      <c r="A11" s="14"/>
      <c r="B11" s="6"/>
      <c r="C11" s="6"/>
      <c r="D11" s="9"/>
      <c r="E11" s="8"/>
      <c r="F11" s="8"/>
      <c r="G11" s="9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0" outlineLevel="1">
      <c r="A13" s="10" t="s">
        <v>8</v>
      </c>
      <c r="B13" s="11">
        <v>41735.53</v>
      </c>
      <c r="C13" s="11">
        <v>45976.177108200005</v>
      </c>
      <c r="D13" s="11"/>
      <c r="E13" s="11">
        <v>344259.6</v>
      </c>
      <c r="F13" s="11">
        <v>389399.14536029997</v>
      </c>
      <c r="G13" s="12"/>
      <c r="I13" s="22"/>
    </row>
    <row r="14" spans="1:10" outlineLevel="1">
      <c r="A14" s="10" t="s">
        <v>9</v>
      </c>
      <c r="B14" s="11">
        <v>855.34</v>
      </c>
      <c r="C14" s="11">
        <v>19.257527899999999</v>
      </c>
      <c r="D14" s="11"/>
      <c r="E14" s="11">
        <v>7634.76</v>
      </c>
      <c r="F14" s="11">
        <v>5907.8979221000009</v>
      </c>
      <c r="G14" s="12"/>
    </row>
    <row r="15" spans="1:10">
      <c r="A15" s="14" t="s">
        <v>21</v>
      </c>
      <c r="B15" s="6">
        <v>42590.869999999995</v>
      </c>
      <c r="C15" s="6">
        <v>45995.434636100006</v>
      </c>
      <c r="D15" s="9">
        <v>7.9936489583331216E-2</v>
      </c>
      <c r="E15" s="151">
        <v>351894.36</v>
      </c>
      <c r="F15" s="6">
        <v>395307.04328239994</v>
      </c>
      <c r="G15" s="23">
        <v>0.12336851117022718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57">
        <v>34140.97</v>
      </c>
      <c r="C17" s="57">
        <v>34843.31</v>
      </c>
      <c r="D17" s="52"/>
      <c r="E17" s="57">
        <v>271513.71000000002</v>
      </c>
      <c r="F17" s="57">
        <v>293207.26</v>
      </c>
      <c r="G17" s="52"/>
      <c r="I17" s="22"/>
    </row>
    <row r="18" spans="1:10" ht="15.6">
      <c r="A18" s="49" t="s">
        <v>7</v>
      </c>
      <c r="B18" s="57">
        <v>43046.84</v>
      </c>
      <c r="C18" s="57">
        <v>42522.400000000001</v>
      </c>
      <c r="D18" s="52"/>
      <c r="E18" s="57">
        <v>337412.01</v>
      </c>
      <c r="F18" s="57">
        <v>362947.67</v>
      </c>
      <c r="G18" s="52"/>
    </row>
    <row r="19" spans="1:10" ht="15.6">
      <c r="A19" s="49" t="s">
        <v>8</v>
      </c>
      <c r="B19" s="57">
        <v>91828.25</v>
      </c>
      <c r="C19" s="57">
        <v>92910.067108200004</v>
      </c>
      <c r="D19" s="52"/>
      <c r="E19" s="57">
        <v>746315.78</v>
      </c>
      <c r="F19" s="57">
        <v>819333.51536029996</v>
      </c>
      <c r="G19" s="52"/>
    </row>
    <row r="20" spans="1:10" ht="15.6">
      <c r="A20" s="49" t="s">
        <v>9</v>
      </c>
      <c r="B20" s="57">
        <v>13252.960000000001</v>
      </c>
      <c r="C20" s="57">
        <v>4756.2175279000003</v>
      </c>
      <c r="D20" s="52"/>
      <c r="E20" s="57">
        <v>101469.45999999999</v>
      </c>
      <c r="F20" s="57">
        <v>88910.407922099999</v>
      </c>
      <c r="G20" s="52"/>
    </row>
    <row r="21" spans="1:10" ht="15.6">
      <c r="A21" s="18" t="s">
        <v>22</v>
      </c>
      <c r="B21" s="87">
        <v>182269.02</v>
      </c>
      <c r="C21" s="87">
        <v>175031.99463610002</v>
      </c>
      <c r="D21" s="19">
        <v>-3.9705186124882719E-2</v>
      </c>
      <c r="E21" s="87">
        <v>1456710.96</v>
      </c>
      <c r="F21" s="87">
        <v>1564398.8532823999</v>
      </c>
      <c r="G21" s="19">
        <v>7.3925367653168372E-2</v>
      </c>
    </row>
    <row r="22" spans="1:10" s="20" customFormat="1" collapsed="1">
      <c r="A22" s="4" t="s">
        <v>15</v>
      </c>
      <c r="B22" s="11"/>
      <c r="C22" s="11"/>
      <c r="D22" s="114"/>
      <c r="E22" s="94"/>
      <c r="F22" s="94"/>
      <c r="G22" s="84"/>
      <c r="I22"/>
    </row>
    <row r="23" spans="1:10" s="20" customFormat="1" outlineLevel="1">
      <c r="A23" s="10" t="s">
        <v>6</v>
      </c>
      <c r="B23" s="152">
        <v>2325.46</v>
      </c>
      <c r="C23" s="152">
        <v>2179.3599999999997</v>
      </c>
      <c r="D23" s="11"/>
      <c r="E23" s="5">
        <v>21742.98</v>
      </c>
      <c r="F23" s="5">
        <v>25102.25</v>
      </c>
      <c r="G23" s="12"/>
      <c r="I23"/>
    </row>
    <row r="24" spans="1:10" s="20" customFormat="1" outlineLevel="1">
      <c r="A24" s="10" t="s">
        <v>7</v>
      </c>
      <c r="B24" s="152">
        <v>3237.12</v>
      </c>
      <c r="C24" s="152">
        <v>2717.8900000000003</v>
      </c>
      <c r="D24" s="11"/>
      <c r="E24" s="5">
        <v>27471.980000000003</v>
      </c>
      <c r="F24" s="5">
        <v>32021.58</v>
      </c>
      <c r="G24" s="12"/>
      <c r="I24"/>
    </row>
    <row r="25" spans="1:10" s="20" customFormat="1" outlineLevel="1">
      <c r="A25" s="10" t="s">
        <v>8</v>
      </c>
      <c r="B25" s="152">
        <v>4372.93</v>
      </c>
      <c r="C25" s="152">
        <v>3843.8599999999997</v>
      </c>
      <c r="D25" s="11"/>
      <c r="E25" s="5">
        <v>35709.119999999995</v>
      </c>
      <c r="F25" s="5">
        <v>50335.850000000006</v>
      </c>
      <c r="G25" s="12"/>
      <c r="I25" s="54"/>
    </row>
    <row r="26" spans="1:10" s="20" customFormat="1" outlineLevel="1">
      <c r="A26" s="10" t="s">
        <v>9</v>
      </c>
      <c r="B26" s="152">
        <v>174.33</v>
      </c>
      <c r="C26" s="152">
        <v>741.56000000000006</v>
      </c>
      <c r="D26" s="11"/>
      <c r="E26" s="5">
        <v>2091.9900000000002</v>
      </c>
      <c r="F26" s="5">
        <v>3607.48</v>
      </c>
      <c r="G26" s="12"/>
      <c r="I26" s="54"/>
    </row>
    <row r="27" spans="1:10" s="20" customFormat="1">
      <c r="A27" s="14" t="s">
        <v>10</v>
      </c>
      <c r="B27" s="6">
        <v>10109.84</v>
      </c>
      <c r="C27" s="6">
        <v>9482.67</v>
      </c>
      <c r="D27" s="23">
        <v>-6.2035600959065684E-2</v>
      </c>
      <c r="E27" s="6">
        <v>87016.07</v>
      </c>
      <c r="F27" s="6">
        <v>111067.16</v>
      </c>
      <c r="G27" s="23">
        <v>0.27639825609223667</v>
      </c>
      <c r="I27" s="21"/>
      <c r="J27" s="81"/>
    </row>
    <row r="28" spans="1:10" s="20" customFormat="1" collapsed="1">
      <c r="A28" s="4" t="s">
        <v>65</v>
      </c>
      <c r="B28" s="11"/>
      <c r="C28" s="11"/>
      <c r="D28" s="153"/>
      <c r="E28" s="5"/>
      <c r="F28" s="4"/>
      <c r="G28" s="62"/>
    </row>
    <row r="29" spans="1:10" s="20" customFormat="1" outlineLevel="1">
      <c r="A29" s="10" t="s">
        <v>8</v>
      </c>
      <c r="B29" s="150">
        <v>9018.5829217999999</v>
      </c>
      <c r="C29" s="154">
        <v>9455.3185011999994</v>
      </c>
      <c r="D29" s="11"/>
      <c r="E29" s="11">
        <v>77861.972911099991</v>
      </c>
      <c r="F29" s="11">
        <v>88594.322619100014</v>
      </c>
      <c r="G29" s="12"/>
      <c r="H29" s="21"/>
      <c r="I29" s="54"/>
    </row>
    <row r="30" spans="1:10" s="20" customFormat="1" outlineLevel="1">
      <c r="A30" s="10" t="s">
        <v>9</v>
      </c>
      <c r="B30" s="150">
        <v>128.78014490000001</v>
      </c>
      <c r="C30" s="150">
        <v>8.9675198999999992</v>
      </c>
      <c r="D30" s="11"/>
      <c r="E30" s="11">
        <v>1215.0337766</v>
      </c>
      <c r="F30" s="11">
        <v>1158.5993062</v>
      </c>
      <c r="G30" s="12"/>
      <c r="H30" s="21"/>
      <c r="I30" s="54"/>
    </row>
    <row r="31" spans="1:10" s="20" customFormat="1">
      <c r="A31" s="14" t="s">
        <v>11</v>
      </c>
      <c r="B31" s="6">
        <v>9147.3630666999998</v>
      </c>
      <c r="C31" s="6">
        <v>9464.2860210999988</v>
      </c>
      <c r="D31" s="23">
        <v>3.4646373177612544E-2</v>
      </c>
      <c r="E31" s="6">
        <v>79077.006687699992</v>
      </c>
      <c r="F31" s="6">
        <v>89752.921925300019</v>
      </c>
      <c r="G31" s="23">
        <v>0.13500656745598105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2325.46</v>
      </c>
      <c r="C33" s="28">
        <v>2179.3599999999997</v>
      </c>
      <c r="D33" s="29"/>
      <c r="E33" s="28">
        <v>21742.98</v>
      </c>
      <c r="F33" s="28">
        <v>25102.25</v>
      </c>
      <c r="G33" s="24"/>
      <c r="H33" s="21"/>
      <c r="I33"/>
    </row>
    <row r="34" spans="1:9" s="20" customFormat="1">
      <c r="A34" s="26" t="s">
        <v>7</v>
      </c>
      <c r="B34" s="28">
        <v>3237.12</v>
      </c>
      <c r="C34" s="28">
        <v>2717.8900000000003</v>
      </c>
      <c r="D34" s="29"/>
      <c r="E34" s="28">
        <v>27471.980000000003</v>
      </c>
      <c r="F34" s="28">
        <v>32021.58</v>
      </c>
      <c r="G34" s="24"/>
      <c r="H34" s="21"/>
      <c r="I34"/>
    </row>
    <row r="35" spans="1:9" s="20" customFormat="1">
      <c r="A35" s="26" t="s">
        <v>8</v>
      </c>
      <c r="B35" s="28">
        <v>13391.5129218</v>
      </c>
      <c r="C35" s="28">
        <v>13299.1785012</v>
      </c>
      <c r="D35" s="29"/>
      <c r="E35" s="28">
        <v>113571.09291109999</v>
      </c>
      <c r="F35" s="28">
        <v>138930.17261910002</v>
      </c>
      <c r="G35" s="24"/>
      <c r="H35" s="21"/>
      <c r="I35"/>
    </row>
    <row r="36" spans="1:9" s="20" customFormat="1">
      <c r="A36" s="26" t="s">
        <v>9</v>
      </c>
      <c r="B36" s="28">
        <v>303.11014490000002</v>
      </c>
      <c r="C36" s="28">
        <v>750.52751990000002</v>
      </c>
      <c r="D36" s="29"/>
      <c r="E36" s="28">
        <v>3307.0237766</v>
      </c>
      <c r="F36" s="28">
        <v>4766.0793062000002</v>
      </c>
      <c r="G36" s="24"/>
      <c r="H36" s="21"/>
      <c r="I36"/>
    </row>
    <row r="37" spans="1:9" s="20" customFormat="1" ht="15.6">
      <c r="A37" s="30" t="s">
        <v>23</v>
      </c>
      <c r="B37" s="96">
        <v>19257.203066700004</v>
      </c>
      <c r="C37" s="87">
        <v>18946.956021099999</v>
      </c>
      <c r="D37" s="31">
        <v>-1.6110701254248627E-2</v>
      </c>
      <c r="E37" s="96">
        <v>166093.07668769997</v>
      </c>
      <c r="F37" s="96">
        <v>200820.08192530004</v>
      </c>
      <c r="G37" s="31">
        <v>0.20908159406846472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31815.510000000002</v>
      </c>
      <c r="C39" s="28">
        <v>32663.949999999997</v>
      </c>
      <c r="D39" s="28">
        <v>0</v>
      </c>
      <c r="E39" s="28">
        <v>249770.73</v>
      </c>
      <c r="F39" s="28">
        <v>268105.01</v>
      </c>
      <c r="G39" s="29"/>
      <c r="H39" s="21"/>
      <c r="I39"/>
    </row>
    <row r="40" spans="1:9" s="20" customFormat="1">
      <c r="A40" s="26" t="s">
        <v>7</v>
      </c>
      <c r="B40" s="28">
        <v>39809.719999999994</v>
      </c>
      <c r="C40" s="28">
        <v>39804.51</v>
      </c>
      <c r="D40" s="28">
        <v>0</v>
      </c>
      <c r="E40" s="28">
        <v>309940.03000000003</v>
      </c>
      <c r="F40" s="28">
        <v>330926.08999999997</v>
      </c>
      <c r="G40" s="29"/>
      <c r="H40" s="21"/>
      <c r="I40"/>
    </row>
    <row r="41" spans="1:9" s="20" customFormat="1">
      <c r="A41" s="26" t="s">
        <v>8</v>
      </c>
      <c r="B41" s="28">
        <v>45719.79</v>
      </c>
      <c r="C41" s="28">
        <v>43090.03</v>
      </c>
      <c r="D41" s="28">
        <v>0</v>
      </c>
      <c r="E41" s="28">
        <v>366347.06</v>
      </c>
      <c r="F41" s="28">
        <v>379598.52</v>
      </c>
      <c r="G41" s="29"/>
      <c r="H41" s="21"/>
      <c r="I41"/>
    </row>
    <row r="42" spans="1:9" s="20" customFormat="1">
      <c r="A42" s="26" t="s">
        <v>9</v>
      </c>
      <c r="B42" s="28">
        <v>12223.29</v>
      </c>
      <c r="C42" s="28">
        <v>3995.4</v>
      </c>
      <c r="D42" s="28">
        <v>0</v>
      </c>
      <c r="E42" s="28">
        <v>91742.709999999992</v>
      </c>
      <c r="F42" s="28">
        <v>79395.03</v>
      </c>
      <c r="G42" s="29"/>
      <c r="H42" s="21"/>
      <c r="I42"/>
    </row>
    <row r="43" spans="1:9" s="20" customFormat="1">
      <c r="A43" s="27" t="s">
        <v>24</v>
      </c>
      <c r="B43" s="88">
        <v>129568.31</v>
      </c>
      <c r="C43" s="88">
        <v>119553.88999999998</v>
      </c>
      <c r="D43" s="23">
        <v>-7.7290658495121289E-2</v>
      </c>
      <c r="E43" s="88">
        <v>1017800.53</v>
      </c>
      <c r="F43" s="88">
        <v>1058024.6499999999</v>
      </c>
      <c r="G43" s="23">
        <v>3.9520631807884676E-2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32716.947078199999</v>
      </c>
      <c r="C45" s="28">
        <v>36520.858607000002</v>
      </c>
      <c r="D45" s="28">
        <v>0</v>
      </c>
      <c r="E45" s="28">
        <v>266397.62708889996</v>
      </c>
      <c r="F45" s="28">
        <v>300804.82274119998</v>
      </c>
      <c r="G45" s="29"/>
      <c r="H45" s="21"/>
      <c r="I45"/>
    </row>
    <row r="46" spans="1:9" s="20" customFormat="1">
      <c r="A46" s="26" t="s">
        <v>9</v>
      </c>
      <c r="B46" s="28">
        <v>726.55985510000005</v>
      </c>
      <c r="C46" s="28">
        <v>10.290008</v>
      </c>
      <c r="D46" s="28">
        <v>0</v>
      </c>
      <c r="E46" s="28">
        <v>6419.7262234</v>
      </c>
      <c r="F46" s="28">
        <v>4749.2986159000011</v>
      </c>
      <c r="G46" s="29"/>
      <c r="H46" s="21"/>
      <c r="I46"/>
    </row>
    <row r="47" spans="1:9" s="20" customFormat="1">
      <c r="A47" s="27" t="s">
        <v>67</v>
      </c>
      <c r="B47" s="88">
        <v>33443.506933299999</v>
      </c>
      <c r="C47" s="88">
        <v>36531.148615000006</v>
      </c>
      <c r="D47" s="23">
        <v>9.232410009685954E-2</v>
      </c>
      <c r="E47" s="88">
        <v>272817.35331229994</v>
      </c>
      <c r="F47" s="88">
        <v>305554.12135709997</v>
      </c>
      <c r="G47" s="23">
        <v>0.11999518229812001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31815.510000000002</v>
      </c>
      <c r="C49" s="57">
        <v>32663.949999999997</v>
      </c>
      <c r="D49" s="57"/>
      <c r="E49" s="57">
        <v>249770.73</v>
      </c>
      <c r="F49" s="57">
        <v>268105.01</v>
      </c>
      <c r="G49" s="52"/>
    </row>
    <row r="50" spans="1:7" ht="15.6">
      <c r="A50" s="49" t="s">
        <v>7</v>
      </c>
      <c r="B50" s="57">
        <v>39809.719999999994</v>
      </c>
      <c r="C50" s="57">
        <v>39804.51</v>
      </c>
      <c r="D50" s="52"/>
      <c r="E50" s="57">
        <v>309940.03000000003</v>
      </c>
      <c r="F50" s="57">
        <v>330926.08999999997</v>
      </c>
      <c r="G50" s="52"/>
    </row>
    <row r="51" spans="1:7" ht="15.6">
      <c r="A51" s="49" t="s">
        <v>8</v>
      </c>
      <c r="B51" s="89">
        <v>78436.737078200007</v>
      </c>
      <c r="C51" s="89">
        <v>79610.888607000001</v>
      </c>
      <c r="D51" s="52"/>
      <c r="E51" s="89">
        <v>632744.68708890001</v>
      </c>
      <c r="F51" s="89">
        <v>680403.3427412</v>
      </c>
      <c r="G51" s="52"/>
    </row>
    <row r="52" spans="1:7" ht="15.6">
      <c r="A52" s="49" t="s">
        <v>9</v>
      </c>
      <c r="B52" s="89">
        <v>12949.849855100001</v>
      </c>
      <c r="C52" s="89">
        <v>4005.690008</v>
      </c>
      <c r="D52" s="52"/>
      <c r="E52" s="89">
        <v>98162.436223399985</v>
      </c>
      <c r="F52" s="89">
        <v>84144.328615899998</v>
      </c>
      <c r="G52" s="52" t="s">
        <v>12</v>
      </c>
    </row>
    <row r="53" spans="1:7" ht="15.6">
      <c r="A53" s="18" t="s">
        <v>25</v>
      </c>
      <c r="B53" s="87">
        <v>163011.81693330003</v>
      </c>
      <c r="C53" s="87">
        <v>156085.038615</v>
      </c>
      <c r="D53" s="19">
        <v>-4.2492491946975131E-2</v>
      </c>
      <c r="E53" s="87">
        <v>1290617.8833123001</v>
      </c>
      <c r="F53" s="87">
        <v>1363578.7713570998</v>
      </c>
      <c r="G53" s="19">
        <v>5.6531750402798897E-2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EDAB-7062-4A98-9DB0-CB67554ACDE4}">
  <sheetPr>
    <pageSetUpPr fitToPage="1"/>
  </sheetPr>
  <dimension ref="A1:J53"/>
  <sheetViews>
    <sheetView topLeftCell="A6" zoomScale="80" zoomScaleNormal="80" workbookViewId="0">
      <selection activeCell="C28" sqref="C28:C29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44140625" bestFit="1" customWidth="1"/>
    <col min="4" max="4" width="14.441406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118</v>
      </c>
      <c r="B1" s="157"/>
      <c r="C1" s="157"/>
      <c r="D1" s="157"/>
      <c r="E1" s="157"/>
      <c r="F1" s="157"/>
      <c r="G1" s="158"/>
    </row>
    <row r="2" spans="1:10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10" ht="15.6">
      <c r="A3" s="109" t="s">
        <v>1</v>
      </c>
      <c r="B3" s="110" t="s">
        <v>119</v>
      </c>
      <c r="C3" s="111">
        <v>45992</v>
      </c>
      <c r="D3" s="109" t="s">
        <v>2</v>
      </c>
      <c r="E3" s="111">
        <v>45627</v>
      </c>
      <c r="F3" s="111">
        <v>45992</v>
      </c>
      <c r="G3" s="109" t="s">
        <v>2</v>
      </c>
    </row>
    <row r="4" spans="1:10" ht="15.6">
      <c r="A4" s="109" t="s">
        <v>120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outlineLevel="1">
      <c r="A5" s="127" t="s">
        <v>6</v>
      </c>
      <c r="B5" s="77">
        <v>32836.224000000002</v>
      </c>
      <c r="C5" s="77">
        <v>34288.78</v>
      </c>
      <c r="D5" s="11"/>
      <c r="E5" s="67">
        <v>304349.93</v>
      </c>
      <c r="F5" s="67">
        <v>327496.03999999998</v>
      </c>
      <c r="G5" s="12"/>
      <c r="H5" s="13"/>
      <c r="I5" s="128"/>
    </row>
    <row r="6" spans="1:10" outlineLevel="1">
      <c r="A6" s="127" t="s">
        <v>7</v>
      </c>
      <c r="B6" s="77">
        <v>40498.919500000004</v>
      </c>
      <c r="C6" s="77">
        <v>41367.730000000003</v>
      </c>
      <c r="D6" s="11"/>
      <c r="E6" s="67">
        <v>377910.93</v>
      </c>
      <c r="F6" s="67">
        <v>404315.4</v>
      </c>
      <c r="G6" s="12"/>
      <c r="I6" s="128"/>
    </row>
    <row r="7" spans="1:10" outlineLevel="1">
      <c r="A7" s="127" t="s">
        <v>8</v>
      </c>
      <c r="B7" s="77">
        <v>47782.945899999999</v>
      </c>
      <c r="C7" s="77">
        <v>46917.24</v>
      </c>
      <c r="D7" s="11"/>
      <c r="E7" s="67">
        <v>449839.13</v>
      </c>
      <c r="F7" s="67">
        <v>476851.61</v>
      </c>
      <c r="G7" s="12"/>
      <c r="H7" s="13"/>
      <c r="I7" s="138"/>
    </row>
    <row r="8" spans="1:10" outlineLevel="1">
      <c r="A8" s="127" t="s">
        <v>9</v>
      </c>
      <c r="B8" s="77">
        <v>11470.798200000001</v>
      </c>
      <c r="C8" s="77">
        <v>4535.6400000000003</v>
      </c>
      <c r="D8" s="11"/>
      <c r="E8" s="67">
        <v>105305.49</v>
      </c>
      <c r="F8" s="67">
        <v>87538.14</v>
      </c>
      <c r="G8" s="12"/>
      <c r="I8" s="128"/>
    </row>
    <row r="9" spans="1:10">
      <c r="A9" s="136" t="s">
        <v>20</v>
      </c>
      <c r="B9" s="118">
        <v>132588.88759999999</v>
      </c>
      <c r="C9" s="35">
        <v>127109.39</v>
      </c>
      <c r="D9" s="61">
        <v>-4.1326992027763354E-2</v>
      </c>
      <c r="E9" s="37">
        <v>1237405.48</v>
      </c>
      <c r="F9" s="37">
        <v>1296201.1899999997</v>
      </c>
      <c r="G9" s="61">
        <v>4.7515314058573344E-2</v>
      </c>
      <c r="I9" s="22"/>
    </row>
    <row r="10" spans="1:10">
      <c r="A10" s="14"/>
      <c r="B10" s="95"/>
      <c r="C10" s="6"/>
      <c r="D10" s="9"/>
      <c r="E10" s="8"/>
      <c r="F10" s="8"/>
      <c r="G10" s="9"/>
      <c r="I10" s="22"/>
    </row>
    <row r="11" spans="1:10" ht="12.75" customHeight="1" collapsed="1">
      <c r="A11" s="4" t="s">
        <v>14</v>
      </c>
      <c r="B11" s="11"/>
      <c r="C11" s="11"/>
      <c r="D11" s="5"/>
      <c r="E11" s="5"/>
      <c r="F11" s="5"/>
      <c r="G11" s="9"/>
      <c r="I11" s="22"/>
    </row>
    <row r="12" spans="1:10" outlineLevel="1">
      <c r="A12" s="10" t="s">
        <v>8</v>
      </c>
      <c r="B12" s="148">
        <v>43437.62</v>
      </c>
      <c r="C12" s="36">
        <v>51976.579736380001</v>
      </c>
      <c r="D12" s="11"/>
      <c r="E12" s="36">
        <v>387697.22</v>
      </c>
      <c r="F12" s="36">
        <v>441375.72798848001</v>
      </c>
      <c r="G12" s="12"/>
      <c r="I12" s="22"/>
    </row>
    <row r="13" spans="1:10" outlineLevel="1">
      <c r="A13" s="10" t="s">
        <v>9</v>
      </c>
      <c r="B13" s="148">
        <v>830.04</v>
      </c>
      <c r="C13" s="36">
        <v>14.7389914</v>
      </c>
      <c r="D13" s="11"/>
      <c r="E13" s="36">
        <v>8464.7999999999993</v>
      </c>
      <c r="F13" s="36">
        <v>5922.6393856000004</v>
      </c>
      <c r="G13" s="12"/>
    </row>
    <row r="14" spans="1:10">
      <c r="A14" s="14" t="s">
        <v>21</v>
      </c>
      <c r="B14" s="35">
        <v>44267.66</v>
      </c>
      <c r="C14" s="35">
        <v>51991.318727780003</v>
      </c>
      <c r="D14" s="61">
        <v>0.17447632713768924</v>
      </c>
      <c r="E14" s="35">
        <v>396162.01999999996</v>
      </c>
      <c r="F14" s="35">
        <v>447298.36737408</v>
      </c>
      <c r="G14" s="63">
        <v>0.12907937861908136</v>
      </c>
      <c r="I14" s="48"/>
    </row>
    <row r="15" spans="1:10">
      <c r="A15" s="4" t="s">
        <v>17</v>
      </c>
      <c r="B15" s="4"/>
      <c r="C15" s="4"/>
      <c r="D15" s="9"/>
      <c r="E15" s="4"/>
      <c r="F15" s="4"/>
      <c r="G15" s="9"/>
      <c r="I15" s="22"/>
      <c r="J15" s="113"/>
    </row>
    <row r="16" spans="1:10" ht="15.6">
      <c r="A16" s="49" t="s">
        <v>6</v>
      </c>
      <c r="B16" s="64">
        <v>32836.224000000002</v>
      </c>
      <c r="C16" s="65">
        <v>34288.78</v>
      </c>
      <c r="D16" s="52"/>
      <c r="E16" s="65">
        <v>304349.93</v>
      </c>
      <c r="F16" s="65">
        <v>327496.03999999998</v>
      </c>
      <c r="G16" s="52"/>
      <c r="I16" s="22"/>
    </row>
    <row r="17" spans="1:10" ht="15.6">
      <c r="A17" s="49" t="s">
        <v>7</v>
      </c>
      <c r="B17" s="64">
        <v>40498.919500000004</v>
      </c>
      <c r="C17" s="65">
        <v>41367.730000000003</v>
      </c>
      <c r="D17" s="52"/>
      <c r="E17" s="65">
        <v>377910.93</v>
      </c>
      <c r="F17" s="65">
        <v>404315.4</v>
      </c>
      <c r="G17" s="52"/>
    </row>
    <row r="18" spans="1:10" ht="15.6">
      <c r="A18" s="49" t="s">
        <v>8</v>
      </c>
      <c r="B18" s="64">
        <v>91220.565900000001</v>
      </c>
      <c r="C18" s="65">
        <v>98893.819736379999</v>
      </c>
      <c r="D18" s="52"/>
      <c r="E18" s="65">
        <v>837536.35</v>
      </c>
      <c r="F18" s="65">
        <v>918227.33798847999</v>
      </c>
      <c r="G18" s="52"/>
    </row>
    <row r="19" spans="1:10" ht="15.6">
      <c r="A19" s="49" t="s">
        <v>9</v>
      </c>
      <c r="B19" s="64">
        <v>12300.838200000002</v>
      </c>
      <c r="C19" s="65">
        <v>4550.3789913999999</v>
      </c>
      <c r="D19" s="52"/>
      <c r="E19" s="65">
        <v>113770.29000000001</v>
      </c>
      <c r="F19" s="65">
        <v>93460.779385600006</v>
      </c>
      <c r="G19" s="52"/>
    </row>
    <row r="20" spans="1:10" ht="15.6">
      <c r="A20" s="18" t="s">
        <v>22</v>
      </c>
      <c r="B20" s="40">
        <v>176856.54759999999</v>
      </c>
      <c r="C20" s="40">
        <v>179100.70872778003</v>
      </c>
      <c r="D20" s="66">
        <v>1.2689146812939756E-2</v>
      </c>
      <c r="E20" s="40">
        <v>1633567.5</v>
      </c>
      <c r="F20" s="40">
        <v>1743499.5573740799</v>
      </c>
      <c r="G20" s="66">
        <v>6.7295693244435739E-2</v>
      </c>
    </row>
    <row r="21" spans="1:10" s="20" customFormat="1" collapsed="1">
      <c r="A21" s="4" t="s">
        <v>15</v>
      </c>
      <c r="B21" s="11"/>
      <c r="C21" s="11"/>
      <c r="D21" s="114"/>
      <c r="E21" s="94"/>
      <c r="F21" s="94"/>
      <c r="G21" s="84"/>
    </row>
    <row r="22" spans="1:10" s="20" customFormat="1" outlineLevel="1">
      <c r="A22" s="10" t="s">
        <v>6</v>
      </c>
      <c r="B22" s="67">
        <v>2906.24</v>
      </c>
      <c r="C22" s="41">
        <v>4274.33</v>
      </c>
      <c r="D22" s="11"/>
      <c r="E22" s="36">
        <v>24649.230000000003</v>
      </c>
      <c r="F22" s="36">
        <v>29376.309999999998</v>
      </c>
      <c r="G22" s="12"/>
    </row>
    <row r="23" spans="1:10" s="20" customFormat="1" outlineLevel="1">
      <c r="A23" s="10" t="s">
        <v>7</v>
      </c>
      <c r="B23" s="67">
        <v>3652.91</v>
      </c>
      <c r="C23" s="41">
        <v>5439.18</v>
      </c>
      <c r="D23" s="11"/>
      <c r="E23" s="36">
        <v>31124.890000000003</v>
      </c>
      <c r="F23" s="36">
        <v>37460.480000000003</v>
      </c>
      <c r="G23" s="12"/>
    </row>
    <row r="24" spans="1:10" s="20" customFormat="1" outlineLevel="1">
      <c r="A24" s="10" t="s">
        <v>8</v>
      </c>
      <c r="B24" s="67">
        <v>4813.07</v>
      </c>
      <c r="C24" s="41">
        <v>8708.7799999999988</v>
      </c>
      <c r="D24" s="11"/>
      <c r="E24" s="36">
        <v>40522.199999999997</v>
      </c>
      <c r="F24" s="36">
        <v>59044.25</v>
      </c>
      <c r="G24" s="12"/>
    </row>
    <row r="25" spans="1:10" s="20" customFormat="1" outlineLevel="1">
      <c r="A25" s="10" t="s">
        <v>9</v>
      </c>
      <c r="B25" s="67">
        <v>143.07999999999998</v>
      </c>
      <c r="C25" s="41">
        <v>258.48</v>
      </c>
      <c r="D25" s="11"/>
      <c r="E25" s="36">
        <v>2235.0699999999997</v>
      </c>
      <c r="F25" s="36">
        <v>3863.25</v>
      </c>
      <c r="G25" s="12"/>
    </row>
    <row r="26" spans="1:10" s="20" customFormat="1">
      <c r="A26" s="14" t="s">
        <v>10</v>
      </c>
      <c r="B26" s="69">
        <v>11515.3</v>
      </c>
      <c r="C26" s="35">
        <v>18680.77</v>
      </c>
      <c r="D26" s="63">
        <v>0.62225647616649171</v>
      </c>
      <c r="E26" s="35">
        <v>98531.390000000014</v>
      </c>
      <c r="F26" s="35">
        <v>129744.29000000001</v>
      </c>
      <c r="G26" s="63">
        <v>0.31678128157940311</v>
      </c>
    </row>
    <row r="27" spans="1:10" s="20" customFormat="1" collapsed="1">
      <c r="A27" s="4" t="s">
        <v>65</v>
      </c>
      <c r="B27" s="11"/>
      <c r="C27" s="11"/>
      <c r="D27" s="153"/>
      <c r="E27" s="5"/>
      <c r="F27" s="4"/>
      <c r="G27" s="62"/>
    </row>
    <row r="28" spans="1:10" s="20" customFormat="1" outlineLevel="1">
      <c r="A28" s="10" t="s">
        <v>8</v>
      </c>
      <c r="B28" s="67">
        <v>10766.13</v>
      </c>
      <c r="C28" s="149">
        <v>10557.745948899999</v>
      </c>
      <c r="D28" s="11"/>
      <c r="E28" s="36">
        <v>88628.097931799988</v>
      </c>
      <c r="F28" s="36">
        <v>99152.070066800021</v>
      </c>
      <c r="G28" s="12"/>
      <c r="H28" s="21"/>
      <c r="I28" s="54"/>
    </row>
    <row r="29" spans="1:10" s="20" customFormat="1" outlineLevel="1">
      <c r="A29" s="10" t="s">
        <v>9</v>
      </c>
      <c r="B29" s="67">
        <v>154.41</v>
      </c>
      <c r="C29" s="67">
        <v>54.095993900000003</v>
      </c>
      <c r="D29" s="11"/>
      <c r="E29" s="36">
        <v>1369.4457101999999</v>
      </c>
      <c r="F29" s="36">
        <v>1212.6977801999999</v>
      </c>
      <c r="G29" s="12"/>
      <c r="H29" s="21"/>
      <c r="I29" s="54"/>
    </row>
    <row r="30" spans="1:10" s="20" customFormat="1">
      <c r="A30" s="14" t="s">
        <v>11</v>
      </c>
      <c r="B30" s="35">
        <v>10920.539999999999</v>
      </c>
      <c r="C30" s="35">
        <v>10611.8419428</v>
      </c>
      <c r="D30" s="63">
        <v>-2.826765687469468E-2</v>
      </c>
      <c r="E30" s="35">
        <v>89997.54364199999</v>
      </c>
      <c r="F30" s="35">
        <v>100364.76784700002</v>
      </c>
      <c r="G30" s="63">
        <v>0.1151945240443415</v>
      </c>
      <c r="H30" s="21"/>
      <c r="I30"/>
      <c r="J30" s="81"/>
    </row>
    <row r="31" spans="1:10" s="20" customFormat="1">
      <c r="A31" s="4" t="s">
        <v>18</v>
      </c>
      <c r="B31" s="4"/>
      <c r="C31" s="6"/>
      <c r="D31" s="9"/>
      <c r="E31" s="4"/>
      <c r="F31" s="4"/>
      <c r="G31" s="9"/>
      <c r="H31" s="21"/>
      <c r="I31"/>
    </row>
    <row r="32" spans="1:10" s="20" customFormat="1">
      <c r="A32" s="25" t="s">
        <v>6</v>
      </c>
      <c r="B32" s="42">
        <v>2906.24</v>
      </c>
      <c r="C32" s="42">
        <v>4274.33</v>
      </c>
      <c r="D32" s="29"/>
      <c r="E32" s="42">
        <v>24649.230000000003</v>
      </c>
      <c r="F32" s="42">
        <v>29376.309999999998</v>
      </c>
      <c r="G32" s="24"/>
      <c r="H32" s="21"/>
      <c r="I32"/>
    </row>
    <row r="33" spans="1:9" s="20" customFormat="1">
      <c r="A33" s="26" t="s">
        <v>7</v>
      </c>
      <c r="B33" s="42">
        <v>3652.91</v>
      </c>
      <c r="C33" s="42">
        <v>5439.18</v>
      </c>
      <c r="D33" s="29"/>
      <c r="E33" s="42">
        <v>31124.890000000003</v>
      </c>
      <c r="F33" s="42">
        <v>37460.480000000003</v>
      </c>
      <c r="G33" s="24"/>
      <c r="H33" s="21"/>
      <c r="I33"/>
    </row>
    <row r="34" spans="1:9" s="20" customFormat="1">
      <c r="A34" s="26" t="s">
        <v>8</v>
      </c>
      <c r="B34" s="42">
        <v>15579.199999999999</v>
      </c>
      <c r="C34" s="42">
        <v>19266.525948899998</v>
      </c>
      <c r="D34" s="29"/>
      <c r="E34" s="42">
        <v>129150.29793179999</v>
      </c>
      <c r="F34" s="42">
        <v>158196.32006680002</v>
      </c>
      <c r="G34" s="24"/>
      <c r="H34" s="21"/>
      <c r="I34"/>
    </row>
    <row r="35" spans="1:9" s="20" customFormat="1">
      <c r="A35" s="26" t="s">
        <v>9</v>
      </c>
      <c r="B35" s="42">
        <v>297.49</v>
      </c>
      <c r="C35" s="42">
        <v>312.57599390000001</v>
      </c>
      <c r="D35" s="29"/>
      <c r="E35" s="42">
        <v>3604.5157101999994</v>
      </c>
      <c r="F35" s="42">
        <v>5075.9477802000001</v>
      </c>
      <c r="G35" s="24"/>
      <c r="H35" s="21"/>
      <c r="I35"/>
    </row>
    <row r="36" spans="1:9" s="20" customFormat="1" ht="15.6">
      <c r="A36" s="30" t="s">
        <v>23</v>
      </c>
      <c r="B36" s="40">
        <v>22435.84</v>
      </c>
      <c r="C36" s="40">
        <v>29292.611942799998</v>
      </c>
      <c r="D36" s="70">
        <v>0.30561690203629754</v>
      </c>
      <c r="E36" s="40">
        <v>188528.93364200002</v>
      </c>
      <c r="F36" s="40">
        <v>230109.05784700002</v>
      </c>
      <c r="G36" s="70">
        <v>0.2205503601052401</v>
      </c>
      <c r="H36" s="21"/>
      <c r="I36"/>
    </row>
    <row r="37" spans="1:9" s="20" customFormat="1">
      <c r="A37" s="4" t="s">
        <v>19</v>
      </c>
      <c r="B37" s="4"/>
      <c r="C37" s="4"/>
      <c r="D37" s="9"/>
      <c r="E37" s="4"/>
      <c r="F37" s="4"/>
      <c r="G37" s="9"/>
      <c r="H37" s="21"/>
      <c r="I37"/>
    </row>
    <row r="38" spans="1:9" s="20" customFormat="1">
      <c r="A38" s="25" t="s">
        <v>6</v>
      </c>
      <c r="B38" s="42">
        <v>29929.984000000004</v>
      </c>
      <c r="C38" s="42">
        <v>30014.449999999997</v>
      </c>
      <c r="D38" s="28">
        <v>0</v>
      </c>
      <c r="E38" s="42">
        <v>279700.7</v>
      </c>
      <c r="F38" s="42">
        <v>298119.73</v>
      </c>
      <c r="G38" s="29"/>
      <c r="H38" s="21"/>
      <c r="I38"/>
    </row>
    <row r="39" spans="1:9" s="20" customFormat="1">
      <c r="A39" s="26" t="s">
        <v>7</v>
      </c>
      <c r="B39" s="42">
        <v>36846.0095</v>
      </c>
      <c r="C39" s="42">
        <v>35928.550000000003</v>
      </c>
      <c r="D39" s="28">
        <v>0</v>
      </c>
      <c r="E39" s="42">
        <v>346786.04</v>
      </c>
      <c r="F39" s="42">
        <v>366854.92000000004</v>
      </c>
      <c r="G39" s="29"/>
      <c r="H39" s="21"/>
      <c r="I39"/>
    </row>
    <row r="40" spans="1:9" s="20" customFormat="1">
      <c r="A40" s="26" t="s">
        <v>8</v>
      </c>
      <c r="B40" s="42">
        <v>42969.875899999999</v>
      </c>
      <c r="C40" s="42">
        <v>38208.46</v>
      </c>
      <c r="D40" s="28">
        <v>0</v>
      </c>
      <c r="E40" s="42">
        <v>409316.93</v>
      </c>
      <c r="F40" s="42">
        <v>417807.35999999999</v>
      </c>
      <c r="G40" s="29"/>
      <c r="H40" s="21"/>
      <c r="I40"/>
    </row>
    <row r="41" spans="1:9" s="20" customFormat="1">
      <c r="A41" s="26" t="s">
        <v>9</v>
      </c>
      <c r="B41" s="42">
        <v>11327.718200000001</v>
      </c>
      <c r="C41" s="42">
        <v>4277.16</v>
      </c>
      <c r="D41" s="28">
        <v>0</v>
      </c>
      <c r="E41" s="42">
        <v>103070.42000000001</v>
      </c>
      <c r="F41" s="42">
        <v>83674.89</v>
      </c>
      <c r="G41" s="29"/>
      <c r="H41" s="21"/>
      <c r="I41"/>
    </row>
    <row r="42" spans="1:9" s="20" customFormat="1">
      <c r="A42" s="27" t="s">
        <v>24</v>
      </c>
      <c r="B42" s="43">
        <v>121073.58760000001</v>
      </c>
      <c r="C42" s="43">
        <v>108428.62</v>
      </c>
      <c r="D42" s="63">
        <v>-0.10444036556609915</v>
      </c>
      <c r="E42" s="43">
        <v>1138874.0899999999</v>
      </c>
      <c r="F42" s="43">
        <v>1166456.8999999999</v>
      </c>
      <c r="G42" s="63">
        <v>2.4219367392931179E-2</v>
      </c>
      <c r="H42" s="21"/>
      <c r="I42"/>
    </row>
    <row r="43" spans="1:9" s="20" customFormat="1">
      <c r="A43" s="4" t="s">
        <v>66</v>
      </c>
      <c r="B43" s="4"/>
      <c r="C43" s="4"/>
      <c r="D43" s="9"/>
      <c r="E43" s="4"/>
      <c r="F43" s="4"/>
      <c r="G43" s="9"/>
      <c r="H43" s="21"/>
      <c r="I43"/>
    </row>
    <row r="44" spans="1:9" s="20" customFormat="1">
      <c r="A44" s="26" t="s">
        <v>8</v>
      </c>
      <c r="B44" s="42">
        <v>32671.490000000005</v>
      </c>
      <c r="C44" s="42">
        <v>41418.833787480005</v>
      </c>
      <c r="D44" s="28">
        <v>0</v>
      </c>
      <c r="E44" s="42">
        <v>299069.12206819997</v>
      </c>
      <c r="F44" s="42">
        <v>342223.65792168002</v>
      </c>
      <c r="G44" s="29"/>
      <c r="H44" s="21"/>
      <c r="I44"/>
    </row>
    <row r="45" spans="1:9" s="20" customFormat="1">
      <c r="A45" s="26" t="s">
        <v>9</v>
      </c>
      <c r="B45" s="42">
        <v>675.63</v>
      </c>
      <c r="C45" s="42">
        <v>-39.357002500000007</v>
      </c>
      <c r="D45" s="28">
        <v>0</v>
      </c>
      <c r="E45" s="42">
        <v>7095.3542897999996</v>
      </c>
      <c r="F45" s="42">
        <v>4709.9416054000003</v>
      </c>
      <c r="G45" s="29"/>
      <c r="H45" s="21"/>
      <c r="I45"/>
    </row>
    <row r="46" spans="1:9" s="20" customFormat="1">
      <c r="A46" s="27" t="s">
        <v>67</v>
      </c>
      <c r="B46" s="43">
        <v>33347.120000000003</v>
      </c>
      <c r="C46" s="43">
        <v>41379.476784980005</v>
      </c>
      <c r="D46" s="63">
        <v>0.24087108005243918</v>
      </c>
      <c r="E46" s="43">
        <v>306164.47635799996</v>
      </c>
      <c r="F46" s="43">
        <v>346933.59952708002</v>
      </c>
      <c r="G46" s="63">
        <v>0.13316085410708611</v>
      </c>
      <c r="H46" s="21"/>
      <c r="I46"/>
    </row>
    <row r="47" spans="1:9">
      <c r="A47" s="4" t="s">
        <v>16</v>
      </c>
      <c r="B47" s="4"/>
      <c r="C47" s="4"/>
      <c r="D47" s="9"/>
      <c r="E47" s="4"/>
      <c r="F47" s="4"/>
      <c r="G47" s="9"/>
    </row>
    <row r="48" spans="1:9" ht="15.6">
      <c r="A48" s="49" t="s">
        <v>6</v>
      </c>
      <c r="B48" s="65">
        <v>29929.984000000004</v>
      </c>
      <c r="C48" s="65">
        <v>30014.449999999997</v>
      </c>
      <c r="D48" s="57"/>
      <c r="E48" s="65">
        <v>279700.7</v>
      </c>
      <c r="F48" s="65">
        <v>298119.73</v>
      </c>
      <c r="G48" s="52"/>
    </row>
    <row r="49" spans="1:7" ht="15.6">
      <c r="A49" s="49" t="s">
        <v>7</v>
      </c>
      <c r="B49" s="65">
        <v>36846.0095</v>
      </c>
      <c r="C49" s="65">
        <v>35928.550000000003</v>
      </c>
      <c r="D49" s="52"/>
      <c r="E49" s="65">
        <v>346786.04</v>
      </c>
      <c r="F49" s="65">
        <v>366854.92000000004</v>
      </c>
      <c r="G49" s="52"/>
    </row>
    <row r="50" spans="1:7" ht="15.6">
      <c r="A50" s="49" t="s">
        <v>8</v>
      </c>
      <c r="B50" s="65">
        <v>75641.365900000004</v>
      </c>
      <c r="C50" s="65">
        <v>79627.293787480012</v>
      </c>
      <c r="D50" s="52"/>
      <c r="E50" s="65">
        <v>708386.05206819996</v>
      </c>
      <c r="F50" s="65">
        <v>760031.01792168</v>
      </c>
      <c r="G50" s="52"/>
    </row>
    <row r="51" spans="1:7" ht="15.6">
      <c r="A51" s="49" t="s">
        <v>9</v>
      </c>
      <c r="B51" s="65">
        <v>12003.3482</v>
      </c>
      <c r="C51" s="65">
        <v>4237.8029974999999</v>
      </c>
      <c r="D51" s="52"/>
      <c r="E51" s="65">
        <v>110165.77428980001</v>
      </c>
      <c r="F51" s="65">
        <v>88384.831605400002</v>
      </c>
      <c r="G51" s="52" t="s">
        <v>12</v>
      </c>
    </row>
    <row r="52" spans="1:7" ht="15.6">
      <c r="A52" s="18" t="s">
        <v>25</v>
      </c>
      <c r="B52" s="40">
        <v>154420.70760000002</v>
      </c>
      <c r="C52" s="40">
        <v>149808.09678498001</v>
      </c>
      <c r="D52" s="66">
        <v>-2.9870431204773507E-2</v>
      </c>
      <c r="E52" s="40">
        <v>1445038.566358</v>
      </c>
      <c r="F52" s="40">
        <v>1513390.49952708</v>
      </c>
      <c r="G52" s="66">
        <v>4.7301113451491128E-2</v>
      </c>
    </row>
    <row r="53" spans="1:7">
      <c r="B53" s="22"/>
      <c r="C53" s="22"/>
      <c r="D53" s="74"/>
      <c r="E53" s="22"/>
      <c r="F53" s="22"/>
      <c r="G53" s="74"/>
    </row>
  </sheetData>
  <mergeCells count="3">
    <mergeCell ref="A1:G1"/>
    <mergeCell ref="B2:D2"/>
    <mergeCell ref="E2:G2"/>
  </mergeCells>
  <pageMargins left="0.45" right="0.45" top="0.75" bottom="0.75" header="0.3" footer="0.3"/>
  <pageSetup scale="7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9036-16EC-4F1E-8155-8D9C70A08A65}">
  <sheetPr>
    <pageSetUpPr fitToPage="1"/>
  </sheetPr>
  <dimension ref="A1:J54"/>
  <sheetViews>
    <sheetView zoomScale="85" zoomScaleNormal="85" workbookViewId="0">
      <selection activeCell="E21" sqref="E21"/>
    </sheetView>
  </sheetViews>
  <sheetFormatPr defaultColWidth="8.77734375" defaultRowHeight="14.4" outlineLevelRow="1"/>
  <cols>
    <col min="1" max="1" width="40.6640625" bestFit="1" customWidth="1"/>
    <col min="2" max="3" width="10.5546875" bestFit="1" customWidth="1"/>
    <col min="4" max="4" width="10.33203125" bestFit="1" customWidth="1"/>
    <col min="5" max="6" width="11.77734375" bestFit="1" customWidth="1"/>
    <col min="7" max="7" width="10.33203125" bestFit="1" customWidth="1"/>
    <col min="9" max="9" width="17.44140625" bestFit="1" customWidth="1"/>
    <col min="10" max="10" width="11.44140625" bestFit="1" customWidth="1"/>
  </cols>
  <sheetData>
    <row r="1" spans="1:10" ht="15.6">
      <c r="A1" s="156" t="s">
        <v>121</v>
      </c>
      <c r="B1" s="157"/>
      <c r="C1" s="157"/>
      <c r="D1" s="157"/>
      <c r="E1" s="157"/>
      <c r="F1" s="157"/>
      <c r="G1" s="158"/>
    </row>
    <row r="2" spans="1:10" ht="15.6">
      <c r="A2" s="108"/>
      <c r="B2" s="159" t="s">
        <v>0</v>
      </c>
      <c r="C2" s="159"/>
      <c r="D2" s="159"/>
      <c r="E2" s="159" t="s">
        <v>78</v>
      </c>
      <c r="F2" s="159"/>
      <c r="G2" s="159"/>
    </row>
    <row r="3" spans="1:10" ht="15.6">
      <c r="A3" s="109" t="s">
        <v>1</v>
      </c>
      <c r="B3" s="110" t="s">
        <v>122</v>
      </c>
      <c r="C3" s="111">
        <v>46023</v>
      </c>
      <c r="D3" s="109" t="s">
        <v>2</v>
      </c>
      <c r="E3" s="110" t="s">
        <v>122</v>
      </c>
      <c r="F3" s="111">
        <v>46023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77">
        <v>36076.948499999999</v>
      </c>
      <c r="C6" s="34">
        <v>38791.839999999997</v>
      </c>
      <c r="D6" s="11"/>
      <c r="E6" s="34">
        <v>340426.88</v>
      </c>
      <c r="F6" s="34">
        <v>366287.88</v>
      </c>
      <c r="G6" s="12"/>
      <c r="H6" s="13"/>
      <c r="I6" s="128"/>
    </row>
    <row r="7" spans="1:10" outlineLevel="1">
      <c r="A7" s="10" t="s">
        <v>7</v>
      </c>
      <c r="B7" s="77">
        <v>44941.746799999994</v>
      </c>
      <c r="C7" s="34">
        <v>47817.48</v>
      </c>
      <c r="D7" s="11"/>
      <c r="E7" s="34">
        <v>422852.67</v>
      </c>
      <c r="F7" s="34">
        <v>452132.87</v>
      </c>
      <c r="G7" s="12"/>
      <c r="I7" s="128"/>
    </row>
    <row r="8" spans="1:10" outlineLevel="1">
      <c r="A8" s="10" t="s">
        <v>8</v>
      </c>
      <c r="B8" s="77">
        <v>53622.602400000003</v>
      </c>
      <c r="C8" s="34">
        <v>54522.45</v>
      </c>
      <c r="D8" s="11"/>
      <c r="E8" s="34">
        <v>503461.73</v>
      </c>
      <c r="F8" s="34">
        <v>531374.06000000006</v>
      </c>
      <c r="G8" s="12"/>
      <c r="H8" s="13"/>
      <c r="I8" s="138"/>
    </row>
    <row r="9" spans="1:10" outlineLevel="1">
      <c r="A9" s="10" t="s">
        <v>9</v>
      </c>
      <c r="B9" s="77">
        <v>12482.942800000001</v>
      </c>
      <c r="C9" s="34">
        <v>5847.76</v>
      </c>
      <c r="D9" s="11"/>
      <c r="E9" s="34">
        <v>117788.44</v>
      </c>
      <c r="F9" s="34">
        <v>93385.91</v>
      </c>
      <c r="G9" s="12"/>
      <c r="I9" s="128"/>
    </row>
    <row r="10" spans="1:10">
      <c r="A10" s="14" t="s">
        <v>20</v>
      </c>
      <c r="B10" s="155">
        <v>147124.24049999999</v>
      </c>
      <c r="C10" s="35">
        <v>146979.53000000003</v>
      </c>
      <c r="D10" s="61">
        <v>-9.8359046748486278E-4</v>
      </c>
      <c r="E10" s="37">
        <v>1384529.72</v>
      </c>
      <c r="F10" s="37">
        <v>1443180.72</v>
      </c>
      <c r="G10" s="61">
        <v>4.2361676425407557E-2</v>
      </c>
      <c r="I10" s="22"/>
    </row>
    <row r="11" spans="1:10">
      <c r="A11" s="14"/>
      <c r="B11" s="155"/>
      <c r="C11" s="35"/>
      <c r="D11" s="9"/>
      <c r="E11" s="37"/>
      <c r="F11" s="37"/>
      <c r="G11" s="9"/>
      <c r="I11" s="22"/>
    </row>
    <row r="12" spans="1:10" ht="12.75" customHeight="1" collapsed="1">
      <c r="A12" s="4" t="s">
        <v>14</v>
      </c>
      <c r="B12" s="36"/>
      <c r="C12" s="36"/>
      <c r="D12" s="5"/>
      <c r="E12" s="36"/>
      <c r="F12" s="36"/>
      <c r="G12" s="9"/>
      <c r="I12" s="22"/>
    </row>
    <row r="13" spans="1:10" outlineLevel="1">
      <c r="A13" s="10" t="s">
        <v>8</v>
      </c>
      <c r="B13" s="77">
        <v>47452.66</v>
      </c>
      <c r="C13" s="34">
        <v>52252.656265150996</v>
      </c>
      <c r="D13" s="11"/>
      <c r="E13" s="34">
        <v>435149.88</v>
      </c>
      <c r="F13" s="34">
        <v>493628.38451725099</v>
      </c>
      <c r="G13" s="12"/>
      <c r="I13" s="22"/>
    </row>
    <row r="14" spans="1:10" outlineLevel="1">
      <c r="A14" s="10" t="s">
        <v>9</v>
      </c>
      <c r="B14" s="77">
        <v>929.04</v>
      </c>
      <c r="C14" s="34">
        <v>92.049811599999998</v>
      </c>
      <c r="D14" s="11"/>
      <c r="E14" s="34">
        <v>9393.84</v>
      </c>
      <c r="F14" s="34">
        <v>6014.6902058000005</v>
      </c>
      <c r="G14" s="12"/>
    </row>
    <row r="15" spans="1:10">
      <c r="A15" s="14" t="s">
        <v>21</v>
      </c>
      <c r="B15" s="35">
        <v>48381.700000000004</v>
      </c>
      <c r="C15" s="35">
        <v>52344.706076750997</v>
      </c>
      <c r="D15" s="61">
        <v>8.1911261422211057E-2</v>
      </c>
      <c r="E15" s="35">
        <v>444543.72000000003</v>
      </c>
      <c r="F15" s="35">
        <v>499643.07472305099</v>
      </c>
      <c r="G15" s="63">
        <v>0.12394586233959393</v>
      </c>
      <c r="I15" s="48"/>
    </row>
    <row r="16" spans="1:10">
      <c r="A16" s="4" t="s">
        <v>17</v>
      </c>
      <c r="B16" s="132"/>
      <c r="C16" s="132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75">
        <v>36076.948499999999</v>
      </c>
      <c r="C17" s="65">
        <v>38791.839999999997</v>
      </c>
      <c r="D17" s="52"/>
      <c r="E17" s="65">
        <v>340426.88</v>
      </c>
      <c r="F17" s="65">
        <v>366287.88</v>
      </c>
      <c r="G17" s="52"/>
      <c r="I17" s="22"/>
    </row>
    <row r="18" spans="1:10" ht="15.6">
      <c r="A18" s="49" t="s">
        <v>7</v>
      </c>
      <c r="B18" s="75">
        <v>44941.746799999994</v>
      </c>
      <c r="C18" s="65">
        <v>47817.48</v>
      </c>
      <c r="D18" s="52"/>
      <c r="E18" s="65">
        <v>422852.67</v>
      </c>
      <c r="F18" s="65">
        <v>452132.87</v>
      </c>
      <c r="G18" s="52"/>
    </row>
    <row r="19" spans="1:10" ht="15.6">
      <c r="A19" s="49" t="s">
        <v>8</v>
      </c>
      <c r="B19" s="75">
        <v>101075.26240000001</v>
      </c>
      <c r="C19" s="65">
        <v>106775.106265151</v>
      </c>
      <c r="D19" s="52"/>
      <c r="E19" s="65">
        <v>938611.61</v>
      </c>
      <c r="F19" s="65">
        <v>1025002.4445172511</v>
      </c>
      <c r="G19" s="52"/>
    </row>
    <row r="20" spans="1:10" ht="15.6">
      <c r="A20" s="49" t="s">
        <v>9</v>
      </c>
      <c r="B20" s="75">
        <v>13411.982800000002</v>
      </c>
      <c r="C20" s="65">
        <v>5939.8098116000001</v>
      </c>
      <c r="D20" s="52"/>
      <c r="E20" s="65">
        <v>127182.28</v>
      </c>
      <c r="F20" s="65">
        <v>99400.600205800001</v>
      </c>
      <c r="G20" s="52"/>
    </row>
    <row r="21" spans="1:10" ht="15.6">
      <c r="A21" s="18" t="s">
        <v>22</v>
      </c>
      <c r="B21" s="40">
        <v>195505.9405</v>
      </c>
      <c r="C21" s="40">
        <v>199324.236076751</v>
      </c>
      <c r="D21" s="66">
        <v>1.9530332821350305E-2</v>
      </c>
      <c r="E21" s="40">
        <v>1829073.4400000002</v>
      </c>
      <c r="F21" s="40">
        <v>1942823.7947230511</v>
      </c>
      <c r="G21" s="66">
        <v>6.2190151710393327E-2</v>
      </c>
    </row>
    <row r="22" spans="1:10" s="20" customFormat="1" collapsed="1">
      <c r="A22" s="4" t="s">
        <v>15</v>
      </c>
      <c r="B22" s="36"/>
      <c r="C22" s="36"/>
      <c r="D22" s="114"/>
      <c r="E22" s="41"/>
      <c r="F22" s="41"/>
      <c r="G22" s="84"/>
    </row>
    <row r="23" spans="1:10" s="20" customFormat="1" outlineLevel="1">
      <c r="A23" s="10" t="s">
        <v>6</v>
      </c>
      <c r="B23" s="77">
        <v>3616.7699999999995</v>
      </c>
      <c r="C23" s="34">
        <v>3303.4900000000002</v>
      </c>
      <c r="D23" s="11"/>
      <c r="E23" s="34">
        <v>28266</v>
      </c>
      <c r="F23" s="34">
        <v>32678.74</v>
      </c>
      <c r="G23" s="12"/>
    </row>
    <row r="24" spans="1:10" s="20" customFormat="1" outlineLevel="1">
      <c r="A24" s="10" t="s">
        <v>7</v>
      </c>
      <c r="B24" s="77">
        <v>4769.38</v>
      </c>
      <c r="C24" s="34">
        <v>4264.51</v>
      </c>
      <c r="D24" s="11"/>
      <c r="E24" s="34">
        <v>35894.28</v>
      </c>
      <c r="F24" s="34">
        <v>41723.08</v>
      </c>
      <c r="G24" s="12"/>
    </row>
    <row r="25" spans="1:10" s="20" customFormat="1" outlineLevel="1">
      <c r="A25" s="10" t="s">
        <v>8</v>
      </c>
      <c r="B25" s="77">
        <v>5732.88</v>
      </c>
      <c r="C25" s="34">
        <v>5550.8899999999994</v>
      </c>
      <c r="D25" s="11"/>
      <c r="E25" s="34">
        <v>46255.08</v>
      </c>
      <c r="F25" s="34">
        <v>64571.5</v>
      </c>
      <c r="G25" s="12"/>
    </row>
    <row r="26" spans="1:10" s="20" customFormat="1" outlineLevel="1">
      <c r="A26" s="10" t="s">
        <v>9</v>
      </c>
      <c r="B26" s="77">
        <v>216.32</v>
      </c>
      <c r="C26" s="34">
        <v>157.69</v>
      </c>
      <c r="D26" s="11"/>
      <c r="E26" s="34">
        <v>2451.37</v>
      </c>
      <c r="F26" s="34">
        <v>4020.94</v>
      </c>
      <c r="G26" s="12"/>
    </row>
    <row r="27" spans="1:10" s="20" customFormat="1">
      <c r="A27" s="14" t="s">
        <v>10</v>
      </c>
      <c r="B27" s="78">
        <v>14335.349999999999</v>
      </c>
      <c r="C27" s="35">
        <v>13276.58</v>
      </c>
      <c r="D27" s="63">
        <v>-7.385728287066573E-2</v>
      </c>
      <c r="E27" s="35">
        <v>112866.73</v>
      </c>
      <c r="F27" s="35">
        <v>142994.26</v>
      </c>
      <c r="G27" s="63">
        <v>0.26693012192344034</v>
      </c>
    </row>
    <row r="28" spans="1:10" s="20" customFormat="1" collapsed="1">
      <c r="A28" s="4" t="s">
        <v>65</v>
      </c>
      <c r="B28" s="36"/>
      <c r="C28" s="36"/>
      <c r="D28" s="153"/>
      <c r="E28" s="36"/>
      <c r="F28" s="132"/>
      <c r="G28" s="62"/>
    </row>
    <row r="29" spans="1:10" s="20" customFormat="1" outlineLevel="1">
      <c r="A29" s="10" t="s">
        <v>8</v>
      </c>
      <c r="B29" s="77">
        <v>9274.35</v>
      </c>
      <c r="C29" s="77">
        <v>9546.1516535999999</v>
      </c>
      <c r="D29" s="11"/>
      <c r="E29" s="34">
        <v>97902.449832500002</v>
      </c>
      <c r="F29" s="34">
        <v>108698.21577150002</v>
      </c>
      <c r="G29" s="12"/>
      <c r="H29" s="21"/>
      <c r="I29" s="54"/>
    </row>
    <row r="30" spans="1:10" s="20" customFormat="1" outlineLevel="1">
      <c r="A30" s="10" t="s">
        <v>9</v>
      </c>
      <c r="B30" s="77">
        <v>186.46</v>
      </c>
      <c r="C30" s="77">
        <v>14.6017671</v>
      </c>
      <c r="D30" s="11"/>
      <c r="E30" s="34">
        <v>1555.9048524</v>
      </c>
      <c r="F30" s="34">
        <v>1227.3035533999998</v>
      </c>
      <c r="G30" s="12"/>
      <c r="H30" s="21"/>
      <c r="I30" s="54"/>
    </row>
    <row r="31" spans="1:10" s="20" customFormat="1">
      <c r="A31" s="14" t="s">
        <v>11</v>
      </c>
      <c r="B31" s="35">
        <v>9460.81</v>
      </c>
      <c r="C31" s="35">
        <v>9560.7534207000008</v>
      </c>
      <c r="D31" s="63">
        <v>1.0563825461154641E-2</v>
      </c>
      <c r="E31" s="35">
        <v>99458.354684899998</v>
      </c>
      <c r="F31" s="35">
        <v>109925.51932490001</v>
      </c>
      <c r="G31" s="63">
        <v>0.10524168304574988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9"/>
      <c r="E32" s="132"/>
      <c r="F32" s="132"/>
      <c r="G32" s="9"/>
      <c r="H32" s="21"/>
      <c r="I32"/>
    </row>
    <row r="33" spans="1:9" s="20" customFormat="1">
      <c r="A33" s="25" t="s">
        <v>6</v>
      </c>
      <c r="B33" s="42">
        <v>3616.7699999999995</v>
      </c>
      <c r="C33" s="42">
        <v>3303.4900000000002</v>
      </c>
      <c r="D33" s="29"/>
      <c r="E33" s="42">
        <v>28266</v>
      </c>
      <c r="F33" s="42">
        <v>32678.74</v>
      </c>
      <c r="G33" s="24"/>
      <c r="H33" s="21"/>
      <c r="I33"/>
    </row>
    <row r="34" spans="1:9" s="20" customFormat="1">
      <c r="A34" s="26" t="s">
        <v>7</v>
      </c>
      <c r="B34" s="42">
        <v>4769.38</v>
      </c>
      <c r="C34" s="42">
        <v>4264.51</v>
      </c>
      <c r="D34" s="29"/>
      <c r="E34" s="42">
        <v>35894.28</v>
      </c>
      <c r="F34" s="42">
        <v>41723.08</v>
      </c>
      <c r="G34" s="24"/>
      <c r="H34" s="21"/>
      <c r="I34"/>
    </row>
    <row r="35" spans="1:9" s="20" customFormat="1">
      <c r="A35" s="26" t="s">
        <v>8</v>
      </c>
      <c r="B35" s="42">
        <v>15007.23</v>
      </c>
      <c r="C35" s="42">
        <v>15097.041653599999</v>
      </c>
      <c r="D35" s="29"/>
      <c r="E35" s="42">
        <v>144157.5298325</v>
      </c>
      <c r="F35" s="42">
        <v>173269.71577150002</v>
      </c>
      <c r="G35" s="24"/>
      <c r="H35" s="21"/>
      <c r="I35"/>
    </row>
    <row r="36" spans="1:9" s="20" customFormat="1">
      <c r="A36" s="26" t="s">
        <v>9</v>
      </c>
      <c r="B36" s="42">
        <v>402.78</v>
      </c>
      <c r="C36" s="42">
        <v>172.29176709999999</v>
      </c>
      <c r="D36" s="29"/>
      <c r="E36" s="42">
        <v>4007.2748523999999</v>
      </c>
      <c r="F36" s="42">
        <v>5248.2435533999997</v>
      </c>
      <c r="G36" s="24"/>
      <c r="H36" s="21"/>
      <c r="I36"/>
    </row>
    <row r="37" spans="1:9" s="20" customFormat="1" ht="15.6">
      <c r="A37" s="30" t="s">
        <v>23</v>
      </c>
      <c r="B37" s="40">
        <v>23796.159999999996</v>
      </c>
      <c r="C37" s="40">
        <v>22837.333420699997</v>
      </c>
      <c r="D37" s="70">
        <v>-4.029337507950348E-2</v>
      </c>
      <c r="E37" s="40">
        <v>212325.08468490001</v>
      </c>
      <c r="F37" s="40">
        <v>252919.77932490004</v>
      </c>
      <c r="G37" s="70">
        <v>0.19119123253968962</v>
      </c>
      <c r="H37" s="21"/>
      <c r="I37"/>
    </row>
    <row r="38" spans="1:9" s="20" customFormat="1">
      <c r="A38" s="4" t="s">
        <v>19</v>
      </c>
      <c r="B38" s="132"/>
      <c r="C38" s="132"/>
      <c r="D38" s="9"/>
      <c r="E38" s="132"/>
      <c r="F38" s="132"/>
      <c r="G38" s="9"/>
      <c r="H38" s="21"/>
      <c r="I38"/>
    </row>
    <row r="39" spans="1:9" s="20" customFormat="1">
      <c r="A39" s="25" t="s">
        <v>6</v>
      </c>
      <c r="B39" s="42">
        <v>32460.178499999998</v>
      </c>
      <c r="C39" s="42">
        <v>35488.35</v>
      </c>
      <c r="D39" s="28">
        <v>0</v>
      </c>
      <c r="E39" s="42">
        <v>312160.88</v>
      </c>
      <c r="F39" s="42">
        <v>333609.14</v>
      </c>
      <c r="G39" s="29"/>
      <c r="H39" s="21"/>
      <c r="I39"/>
    </row>
    <row r="40" spans="1:9" s="20" customFormat="1">
      <c r="A40" s="26" t="s">
        <v>7</v>
      </c>
      <c r="B40" s="42">
        <v>40172.366799999996</v>
      </c>
      <c r="C40" s="42">
        <v>43552.97</v>
      </c>
      <c r="D40" s="28">
        <v>0</v>
      </c>
      <c r="E40" s="42">
        <v>386958.39</v>
      </c>
      <c r="F40" s="42">
        <v>410409.79</v>
      </c>
      <c r="G40" s="29"/>
      <c r="H40" s="21"/>
      <c r="I40"/>
    </row>
    <row r="41" spans="1:9" s="20" customFormat="1">
      <c r="A41" s="26" t="s">
        <v>8</v>
      </c>
      <c r="B41" s="42">
        <v>47889.722400000006</v>
      </c>
      <c r="C41" s="42">
        <v>48971.56</v>
      </c>
      <c r="D41" s="28">
        <v>0</v>
      </c>
      <c r="E41" s="42">
        <v>457206.64999999997</v>
      </c>
      <c r="F41" s="42">
        <v>466802.56000000006</v>
      </c>
      <c r="G41" s="29"/>
      <c r="H41" s="21"/>
      <c r="I41"/>
    </row>
    <row r="42" spans="1:9" s="20" customFormat="1">
      <c r="A42" s="26" t="s">
        <v>9</v>
      </c>
      <c r="B42" s="42">
        <v>12266.622800000001</v>
      </c>
      <c r="C42" s="42">
        <v>5690.0700000000006</v>
      </c>
      <c r="D42" s="28">
        <v>0</v>
      </c>
      <c r="E42" s="42">
        <v>115337.07</v>
      </c>
      <c r="F42" s="42">
        <v>89364.97</v>
      </c>
      <c r="G42" s="29"/>
      <c r="H42" s="21"/>
      <c r="I42"/>
    </row>
    <row r="43" spans="1:9" s="20" customFormat="1">
      <c r="A43" s="27" t="s">
        <v>24</v>
      </c>
      <c r="B43" s="43">
        <v>132788.89050000001</v>
      </c>
      <c r="C43" s="43">
        <v>133702.95000000001</v>
      </c>
      <c r="D43" s="63">
        <v>6.8835578036685607E-3</v>
      </c>
      <c r="E43" s="43">
        <v>1271662.99</v>
      </c>
      <c r="F43" s="43">
        <v>1300186.46</v>
      </c>
      <c r="G43" s="63">
        <v>2.2430054365268459E-2</v>
      </c>
      <c r="H43" s="21"/>
      <c r="I43"/>
    </row>
    <row r="44" spans="1:9" s="20" customFormat="1">
      <c r="A44" s="4" t="s">
        <v>66</v>
      </c>
      <c r="B44" s="132"/>
      <c r="C44" s="132"/>
      <c r="D44" s="9"/>
      <c r="E44" s="132"/>
      <c r="F44" s="132"/>
      <c r="G44" s="9"/>
      <c r="H44" s="21"/>
      <c r="I44"/>
    </row>
    <row r="45" spans="1:9" s="20" customFormat="1">
      <c r="A45" s="26" t="s">
        <v>8</v>
      </c>
      <c r="B45" s="42">
        <v>38178.310000000005</v>
      </c>
      <c r="C45" s="42">
        <v>42706.504611550998</v>
      </c>
      <c r="D45" s="28">
        <v>0</v>
      </c>
      <c r="E45" s="42">
        <v>337247.43016749999</v>
      </c>
      <c r="F45" s="42">
        <v>384930.16874575097</v>
      </c>
      <c r="G45" s="29"/>
      <c r="H45" s="21"/>
      <c r="I45"/>
    </row>
    <row r="46" spans="1:9" s="20" customFormat="1">
      <c r="A46" s="26" t="s">
        <v>9</v>
      </c>
      <c r="B46" s="42">
        <v>742.57999999999993</v>
      </c>
      <c r="C46" s="42">
        <v>77.448044499999995</v>
      </c>
      <c r="D46" s="28">
        <v>0</v>
      </c>
      <c r="E46" s="42">
        <v>7837.9351476000002</v>
      </c>
      <c r="F46" s="42">
        <v>4787.3866524000005</v>
      </c>
      <c r="G46" s="29"/>
      <c r="H46" s="21"/>
      <c r="I46"/>
    </row>
    <row r="47" spans="1:9" s="20" customFormat="1">
      <c r="A47" s="27" t="s">
        <v>67</v>
      </c>
      <c r="B47" s="43">
        <v>38920.890000000007</v>
      </c>
      <c r="C47" s="43">
        <v>42783.952656050998</v>
      </c>
      <c r="D47" s="63">
        <v>9.9254252036569346E-2</v>
      </c>
      <c r="E47" s="43">
        <v>345085.3653151</v>
      </c>
      <c r="F47" s="43">
        <v>389717.55539815099</v>
      </c>
      <c r="G47" s="63">
        <v>0.12933666439982749</v>
      </c>
      <c r="H47" s="21"/>
      <c r="I47"/>
    </row>
    <row r="48" spans="1:9">
      <c r="A48" s="4" t="s">
        <v>16</v>
      </c>
      <c r="B48" s="132"/>
      <c r="C48" s="132"/>
      <c r="D48" s="9"/>
      <c r="E48" s="132"/>
      <c r="F48" s="132"/>
      <c r="G48" s="9"/>
    </row>
    <row r="49" spans="1:7" ht="15.6">
      <c r="A49" s="49" t="s">
        <v>6</v>
      </c>
      <c r="B49" s="65">
        <v>32460.178499999998</v>
      </c>
      <c r="C49" s="65">
        <v>35488.35</v>
      </c>
      <c r="D49" s="57"/>
      <c r="E49" s="65">
        <v>312160.88</v>
      </c>
      <c r="F49" s="65">
        <v>333609.14</v>
      </c>
      <c r="G49" s="52"/>
    </row>
    <row r="50" spans="1:7" ht="15.6">
      <c r="A50" s="49" t="s">
        <v>7</v>
      </c>
      <c r="B50" s="65">
        <v>40172.366799999996</v>
      </c>
      <c r="C50" s="65">
        <v>43552.97</v>
      </c>
      <c r="D50" s="52"/>
      <c r="E50" s="65">
        <v>386958.39</v>
      </c>
      <c r="F50" s="65">
        <v>410409.79</v>
      </c>
      <c r="G50" s="52"/>
    </row>
    <row r="51" spans="1:7" ht="15.6">
      <c r="A51" s="49" t="s">
        <v>8</v>
      </c>
      <c r="B51" s="65">
        <v>86068.032400000011</v>
      </c>
      <c r="C51" s="65">
        <v>91678.064611551003</v>
      </c>
      <c r="D51" s="52"/>
      <c r="E51" s="65">
        <v>794454.08016749995</v>
      </c>
      <c r="F51" s="65">
        <v>851732.72874575108</v>
      </c>
      <c r="G51" s="52"/>
    </row>
    <row r="52" spans="1:7" ht="15.6">
      <c r="A52" s="49" t="s">
        <v>9</v>
      </c>
      <c r="B52" s="65">
        <v>13009.202800000001</v>
      </c>
      <c r="C52" s="65">
        <v>5767.5180445000005</v>
      </c>
      <c r="D52" s="52"/>
      <c r="E52" s="65">
        <v>123175.00514760001</v>
      </c>
      <c r="F52" s="65">
        <v>94152.356652400005</v>
      </c>
      <c r="G52" s="52" t="s">
        <v>12</v>
      </c>
    </row>
    <row r="53" spans="1:7" ht="15.6">
      <c r="A53" s="18" t="s">
        <v>25</v>
      </c>
      <c r="B53" s="40">
        <v>171709.78050000002</v>
      </c>
      <c r="C53" s="40">
        <v>176486.90265605101</v>
      </c>
      <c r="D53" s="66">
        <v>2.7820918235115677E-2</v>
      </c>
      <c r="E53" s="40">
        <v>1616748.3553150999</v>
      </c>
      <c r="F53" s="40">
        <v>1689904.015398151</v>
      </c>
      <c r="G53" s="66">
        <v>4.5248637391558155E-2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Dec-25</vt:lpstr>
      <vt:lpstr>Jan-26</vt:lpstr>
      <vt:lpstr>'Apr-24'!Print_Area</vt:lpstr>
      <vt:lpstr>'Apr-25'!Print_Area</vt:lpstr>
      <vt:lpstr>'Aug-24'!Print_Area</vt:lpstr>
      <vt:lpstr>'Aug-25'!Print_Area</vt:lpstr>
      <vt:lpstr>'Dec-24'!Print_Area</vt:lpstr>
      <vt:lpstr>'Dec-25'!Print_Area</vt:lpstr>
      <vt:lpstr>'Jan-25'!Print_Area</vt:lpstr>
      <vt:lpstr>'Jan-26'!Print_Area</vt:lpstr>
      <vt:lpstr>'Jul-24'!Print_Area</vt:lpstr>
      <vt:lpstr>'Jul-25'!Print_Area</vt:lpstr>
      <vt:lpstr>'Jun-24'!Print_Area</vt:lpstr>
      <vt:lpstr>'Jun-25'!Print_Area</vt:lpstr>
      <vt:lpstr>'Mar-25'!Print_Area</vt:lpstr>
      <vt:lpstr>'May-24'!Print_Area</vt:lpstr>
      <vt:lpstr>'May-25'!Print_Area</vt:lpstr>
      <vt:lpstr>'Nov-24'!Print_Area</vt:lpstr>
      <vt:lpstr>'Nov-25'!Print_Area</vt:lpstr>
      <vt:lpstr>'Oct-24'!Print_Area</vt:lpstr>
      <vt:lpstr>'Oct-25'!Print_Area</vt:lpstr>
      <vt:lpstr>'Sep-24'!Print_Area</vt:lpstr>
      <vt:lpstr>'Sep-25'!Print_Area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2024-08-01T06:52:45Z</cp:lastPrinted>
  <dcterms:created xsi:type="dcterms:W3CDTF">2024-05-03T09:23:37Z</dcterms:created>
  <dcterms:modified xsi:type="dcterms:W3CDTF">2026-02-13T05:57:33Z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2024-05-11T02:59:11Z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65fd174f-b2b0-41ff-aab5-f40f83ec7959</vt:lpwstr>
  </property>
  <property fmtid="{D5CDD505-2E9C-101B-9397-08002B2CF9AE}" pid="8" name="MSIP_Label_a0819fa7-4367-4500-ba88-dd630d977609_ContentBits">
    <vt:lpwstr>0</vt:lpwstr>
  </property>
</Properties>
</file>