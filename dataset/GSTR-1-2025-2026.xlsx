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GSTR 1\"/>
    </mc:Choice>
  </mc:AlternateContent>
  <xr:revisionPtr revIDLastSave="0" documentId="13_ncr:1_{E5B3EA82-5FFC-4622-8AA8-5C2DF8322A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8" i="2" l="1"/>
  <c r="AR48" i="2"/>
  <c r="AQ48" i="2"/>
  <c r="AU47" i="2"/>
  <c r="AS47" i="2"/>
  <c r="AU46" i="2"/>
  <c r="AS46" i="2"/>
  <c r="AU45" i="2"/>
  <c r="AS45" i="2"/>
  <c r="AU44" i="2"/>
  <c r="AS44" i="2"/>
  <c r="AU43" i="2"/>
  <c r="AS43" i="2"/>
  <c r="AU42" i="2"/>
  <c r="AS42" i="2"/>
  <c r="AU41" i="2"/>
  <c r="AS41" i="2"/>
  <c r="AU40" i="2"/>
  <c r="AS40" i="2"/>
  <c r="AU39" i="2"/>
  <c r="AS39" i="2"/>
  <c r="AU38" i="2"/>
  <c r="AS38" i="2"/>
  <c r="AU37" i="2"/>
  <c r="AS37" i="2"/>
  <c r="AU36" i="2"/>
  <c r="AS36" i="2"/>
  <c r="AU35" i="2"/>
  <c r="AS35" i="2"/>
  <c r="AU33" i="2"/>
  <c r="AS33" i="2"/>
  <c r="AU32" i="2"/>
  <c r="AS32" i="2"/>
  <c r="AU31" i="2"/>
  <c r="AS31" i="2"/>
  <c r="AU30" i="2"/>
  <c r="AS30" i="2"/>
  <c r="AU29" i="2"/>
  <c r="AS29" i="2"/>
  <c r="AU28" i="2"/>
  <c r="AS28" i="2"/>
  <c r="AU27" i="2"/>
  <c r="AS27" i="2"/>
  <c r="AU26" i="2"/>
  <c r="AS26" i="2"/>
  <c r="AU25" i="2"/>
  <c r="AS25" i="2"/>
  <c r="AU24" i="2"/>
  <c r="AS24" i="2"/>
  <c r="AU23" i="2"/>
  <c r="AS23" i="2"/>
  <c r="AU22" i="2"/>
  <c r="AS22" i="2"/>
  <c r="AU21" i="2"/>
  <c r="AS21" i="2"/>
  <c r="AU20" i="2"/>
  <c r="AS20" i="2"/>
  <c r="AU19" i="2"/>
  <c r="AS19" i="2"/>
  <c r="AU18" i="2"/>
  <c r="AS18" i="2"/>
  <c r="AU17" i="2"/>
  <c r="AS17" i="2"/>
  <c r="AU16" i="2"/>
  <c r="AS16" i="2"/>
  <c r="AU15" i="2"/>
  <c r="AS15" i="2"/>
  <c r="AU14" i="2"/>
  <c r="AS14" i="2"/>
  <c r="AU13" i="2"/>
  <c r="AS13" i="2"/>
  <c r="AU12" i="2"/>
  <c r="AS12" i="2"/>
  <c r="AU11" i="2"/>
  <c r="AS11" i="2"/>
  <c r="AU10" i="2"/>
  <c r="AS10" i="2"/>
  <c r="AO48" i="2"/>
  <c r="AM48" i="2"/>
  <c r="AL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3" i="2"/>
  <c r="AN33" i="2"/>
  <c r="AP32" i="2"/>
  <c r="AN32" i="2"/>
  <c r="AP31" i="2"/>
  <c r="AN31" i="2"/>
  <c r="AP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J48" i="2"/>
  <c r="AH48" i="2"/>
  <c r="AG48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3" i="2"/>
  <c r="AI33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2" i="2"/>
  <c r="AI22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AE48" i="2"/>
  <c r="AC48" i="2"/>
  <c r="AB48" i="2"/>
  <c r="AF47" i="2"/>
  <c r="AD47" i="2"/>
  <c r="AF46" i="2"/>
  <c r="AD46" i="2"/>
  <c r="AF45" i="2"/>
  <c r="AD45" i="2"/>
  <c r="AF44" i="2"/>
  <c r="AD44" i="2"/>
  <c r="AF43" i="2"/>
  <c r="AD43" i="2"/>
  <c r="AF42" i="2"/>
  <c r="AD42" i="2"/>
  <c r="AF41" i="2"/>
  <c r="AD41" i="2"/>
  <c r="AF40" i="2"/>
  <c r="AD40" i="2"/>
  <c r="AF39" i="2"/>
  <c r="AD39" i="2"/>
  <c r="AF38" i="2"/>
  <c r="AD38" i="2"/>
  <c r="AF37" i="2"/>
  <c r="AD37" i="2"/>
  <c r="AF36" i="2"/>
  <c r="AD36" i="2"/>
  <c r="AF35" i="2"/>
  <c r="AD35" i="2"/>
  <c r="AF33" i="2"/>
  <c r="AD33" i="2"/>
  <c r="AF32" i="2"/>
  <c r="AD32" i="2"/>
  <c r="AF31" i="2"/>
  <c r="AD31" i="2"/>
  <c r="AF30" i="2"/>
  <c r="AD30" i="2"/>
  <c r="AF29" i="2"/>
  <c r="AD29" i="2"/>
  <c r="AF28" i="2"/>
  <c r="AD28" i="2"/>
  <c r="AF27" i="2"/>
  <c r="AD27" i="2"/>
  <c r="AF26" i="2"/>
  <c r="AD26" i="2"/>
  <c r="AF25" i="2"/>
  <c r="AD25" i="2"/>
  <c r="AF24" i="2"/>
  <c r="AD24" i="2"/>
  <c r="AF23" i="2"/>
  <c r="AD23" i="2"/>
  <c r="AF22" i="2"/>
  <c r="AD22" i="2"/>
  <c r="AF21" i="2"/>
  <c r="AD21" i="2"/>
  <c r="AF20" i="2"/>
  <c r="AD20" i="2"/>
  <c r="AF19" i="2"/>
  <c r="AD19" i="2"/>
  <c r="AF18" i="2"/>
  <c r="AD18" i="2"/>
  <c r="AF17" i="2"/>
  <c r="AD17" i="2"/>
  <c r="AF16" i="2"/>
  <c r="AD16" i="2"/>
  <c r="AF15" i="2"/>
  <c r="AD15" i="2"/>
  <c r="AF14" i="2"/>
  <c r="AD14" i="2"/>
  <c r="AF13" i="2"/>
  <c r="AD13" i="2"/>
  <c r="AF12" i="2"/>
  <c r="AD12" i="2"/>
  <c r="AF11" i="2"/>
  <c r="AD11" i="2"/>
  <c r="AF10" i="2"/>
  <c r="AD10" i="2"/>
  <c r="Z48" i="2"/>
  <c r="X48" i="2"/>
  <c r="W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P48" i="2"/>
  <c r="N48" i="2"/>
  <c r="M48" i="2"/>
  <c r="Q47" i="2"/>
  <c r="O47" i="2"/>
  <c r="Q46" i="2"/>
  <c r="O46" i="2"/>
  <c r="Q45" i="2"/>
  <c r="O45" i="2"/>
  <c r="Q44" i="2"/>
  <c r="O44" i="2"/>
  <c r="Q43" i="2"/>
  <c r="O43" i="2"/>
  <c r="Q42" i="2"/>
  <c r="O42" i="2"/>
  <c r="Q41" i="2"/>
  <c r="O41" i="2"/>
  <c r="Q40" i="2"/>
  <c r="O40" i="2"/>
  <c r="Q39" i="2"/>
  <c r="O39" i="2"/>
  <c r="Q38" i="2"/>
  <c r="O38" i="2"/>
  <c r="Q37" i="2"/>
  <c r="O37" i="2"/>
  <c r="Q36" i="2"/>
  <c r="O36" i="2"/>
  <c r="Q35" i="2"/>
  <c r="O35" i="2"/>
  <c r="Q33" i="2"/>
  <c r="O33" i="2"/>
  <c r="Q32" i="2"/>
  <c r="O32" i="2"/>
  <c r="Q31" i="2"/>
  <c r="O31" i="2"/>
  <c r="Q30" i="2"/>
  <c r="O30" i="2"/>
  <c r="Q29" i="2"/>
  <c r="O29" i="2"/>
  <c r="Q28" i="2"/>
  <c r="O28" i="2"/>
  <c r="Q27" i="2"/>
  <c r="O27" i="2"/>
  <c r="Q26" i="2"/>
  <c r="O26" i="2"/>
  <c r="Q25" i="2"/>
  <c r="O25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Q17" i="2"/>
  <c r="O17" i="2"/>
  <c r="Q16" i="2"/>
  <c r="O16" i="2"/>
  <c r="Q15" i="2"/>
  <c r="O15" i="2"/>
  <c r="Q14" i="2"/>
  <c r="O14" i="2"/>
  <c r="Q13" i="2"/>
  <c r="O13" i="2"/>
  <c r="Q12" i="2"/>
  <c r="O12" i="2"/>
  <c r="Q11" i="2"/>
  <c r="O11" i="2"/>
  <c r="Q10" i="2"/>
  <c r="O10" i="2"/>
  <c r="AU48" i="2" l="1"/>
  <c r="AS48" i="2"/>
  <c r="AN48" i="2"/>
  <c r="AP48" i="2"/>
  <c r="AI48" i="2"/>
  <c r="AK48" i="2"/>
  <c r="AF48" i="2"/>
  <c r="AD48" i="2"/>
  <c r="AA48" i="2"/>
  <c r="Y48" i="2"/>
  <c r="O48" i="2"/>
  <c r="Q48" i="2"/>
  <c r="U48" i="2" l="1"/>
  <c r="S48" i="2"/>
  <c r="R48" i="2"/>
  <c r="V47" i="2"/>
  <c r="T47" i="2"/>
  <c r="V46" i="2"/>
  <c r="T46" i="2"/>
  <c r="V45" i="2"/>
  <c r="T45" i="2"/>
  <c r="V44" i="2"/>
  <c r="T44" i="2"/>
  <c r="V43" i="2"/>
  <c r="T43" i="2"/>
  <c r="V42" i="2"/>
  <c r="T42" i="2"/>
  <c r="V41" i="2"/>
  <c r="T41" i="2"/>
  <c r="V40" i="2"/>
  <c r="T40" i="2"/>
  <c r="V39" i="2"/>
  <c r="T39" i="2"/>
  <c r="V38" i="2"/>
  <c r="T38" i="2"/>
  <c r="V37" i="2"/>
  <c r="T37" i="2"/>
  <c r="V36" i="2"/>
  <c r="T36" i="2"/>
  <c r="V35" i="2"/>
  <c r="T35" i="2"/>
  <c r="V33" i="2"/>
  <c r="T33" i="2"/>
  <c r="V32" i="2"/>
  <c r="T32" i="2"/>
  <c r="V31" i="2"/>
  <c r="T31" i="2"/>
  <c r="V30" i="2"/>
  <c r="T30" i="2"/>
  <c r="V29" i="2"/>
  <c r="T29" i="2"/>
  <c r="V28" i="2"/>
  <c r="T28" i="2"/>
  <c r="V27" i="2"/>
  <c r="T27" i="2"/>
  <c r="V26" i="2"/>
  <c r="T26" i="2"/>
  <c r="V25" i="2"/>
  <c r="T25" i="2"/>
  <c r="V24" i="2"/>
  <c r="T24" i="2"/>
  <c r="V23" i="2"/>
  <c r="T23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T16" i="2"/>
  <c r="V15" i="2"/>
  <c r="T15" i="2"/>
  <c r="V14" i="2"/>
  <c r="T14" i="2"/>
  <c r="V13" i="2"/>
  <c r="T13" i="2"/>
  <c r="V12" i="2"/>
  <c r="T12" i="2"/>
  <c r="V11" i="2"/>
  <c r="T11" i="2"/>
  <c r="V10" i="2"/>
  <c r="T10" i="2"/>
  <c r="F48" i="2"/>
  <c r="D48" i="2"/>
  <c r="C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K48" i="2"/>
  <c r="I48" i="2"/>
  <c r="H48" i="2"/>
  <c r="L47" i="2"/>
  <c r="J47" i="2"/>
  <c r="L46" i="2"/>
  <c r="J46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3" i="2"/>
  <c r="J33" i="2"/>
  <c r="L32" i="2"/>
  <c r="J32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V48" i="2" l="1"/>
  <c r="T48" i="2"/>
  <c r="G48" i="2"/>
  <c r="E48" i="2"/>
  <c r="J48" i="2"/>
  <c r="L48" i="2"/>
</calcChain>
</file>

<file path=xl/sharedStrings.xml><?xml version="1.0" encoding="utf-8"?>
<sst xmlns="http://schemas.openxmlformats.org/spreadsheetml/2006/main" count="107" uniqueCount="50">
  <si>
    <t>STATE WISE RETURN PERIOD WISE GSTR-1 FILING SUMMARY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</si>
  <si>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</si>
  <si>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</si>
  <si>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</si>
  <si>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</si>
  <si>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</si>
  <si>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</si>
  <si>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</si>
  <si>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</si>
  <si>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</si>
  <si>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</si>
  <si>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</si>
  <si>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</si>
  <si>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</si>
  <si>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</si>
  <si>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</si>
  <si>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</si>
  <si>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</si>
  <si>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</si>
  <si>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</si>
  <si>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</si>
  <si>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</si>
  <si>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</si>
  <si>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</si>
  <si>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</si>
  <si>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</si>
  <si>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</si>
  <si>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</si>
  <si>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</si>
  <si>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</si>
  <si>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</si>
  <si>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</si>
  <si>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</si>
  <si>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</si>
  <si>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</si>
  <si>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</si>
  <si>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</si>
  <si>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</si>
  <si>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</si>
  <si>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</si>
  <si>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</si>
  <si>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</si>
  <si>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Chhattisgarh</t>
  </si>
  <si>
    <t>Gujarat</t>
  </si>
  <si>
    <t>Maharashtra</t>
  </si>
  <si>
    <t>Andaman and Nicobar Islands</t>
  </si>
  <si>
    <t>STATE 
CD</t>
  </si>
  <si>
    <t>FINANCIAL YEAR 2025-2026</t>
  </si>
  <si>
    <t>Data Considered upto 31st Jan 2026</t>
  </si>
  <si>
    <t>Filing %age as on 31st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</si>
</sst>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7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tabSelected="1" zoomScale="55" zoomScaleNormal="55" workbookViewId="0">
      <selection activeCell="A47" sqref="A47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3" width="24.21875" customWidth="1"/>
    <col min="4" max="7" width="18.77734375" customWidth="1"/>
    <col min="8" max="8" width="24.21875" customWidth="1"/>
    <col min="9" max="12" width="18.77734375" customWidth="1"/>
    <col min="13" max="13" width="24.21875" customWidth="1"/>
    <col min="14" max="17" width="18.77734375" customWidth="1"/>
    <col min="18" max="18" width="24.21875" customWidth="1"/>
    <col min="19" max="22" width="18.77734375" customWidth="1"/>
    <col min="23" max="23" width="24.21875" customWidth="1"/>
    <col min="24" max="27" width="18.77734375" customWidth="1"/>
    <col min="28" max="28" width="24.21875" customWidth="1"/>
    <col min="29" max="32" width="18.77734375" customWidth="1"/>
    <col min="33" max="33" width="24.21875" customWidth="1"/>
    <col min="34" max="37" width="18.77734375" customWidth="1"/>
    <col min="38" max="38" width="24.21875" customWidth="1"/>
    <col min="39" max="42" width="18.77734375" customWidth="1"/>
    <col min="43" max="43" width="24.21875" customWidth="1"/>
    <col min="44" max="47" width="18.77734375" customWidth="1"/>
  </cols>
  <sheetData>
    <row r="1" spans="1:47" ht="15.6" x14ac:dyDescent="0.3">
      <c r="A1" s="13" t="s">
        <v>0</v>
      </c>
      <c r="B1" s="13"/>
      <c r="C1" s="13"/>
      <c r="D1" s="13"/>
    </row>
    <row r="2" spans="1:47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5.6" x14ac:dyDescent="0.3">
      <c r="A3" s="14" t="s">
        <v>47</v>
      </c>
      <c r="B3" s="1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5.6" x14ac:dyDescent="0.3">
      <c r="A5" s="13" t="s">
        <v>48</v>
      </c>
      <c r="B5" s="13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5.6" x14ac:dyDescent="0.3">
      <c r="D6" s="1"/>
      <c r="E6" s="1"/>
      <c r="F6" s="1"/>
      <c r="G6" s="1"/>
      <c r="I6" s="1"/>
      <c r="J6" s="1"/>
      <c r="K6" s="1"/>
      <c r="L6" s="1"/>
      <c r="N6" s="1"/>
      <c r="O6" s="1"/>
      <c r="P6" s="1"/>
      <c r="Q6" s="1"/>
      <c r="S6" s="1"/>
      <c r="T6" s="1"/>
      <c r="U6" s="1"/>
      <c r="V6" s="1"/>
      <c r="X6" s="1"/>
      <c r="Y6" s="1"/>
      <c r="Z6" s="1"/>
      <c r="AA6" s="1"/>
      <c r="AC6" s="1"/>
      <c r="AD6" s="1"/>
      <c r="AE6" s="1"/>
      <c r="AF6" s="1"/>
      <c r="AH6" s="1"/>
      <c r="AI6" s="1"/>
      <c r="AJ6" s="1"/>
      <c r="AK6" s="1"/>
      <c r="AM6" s="1"/>
      <c r="AN6" s="1"/>
      <c r="AO6" s="1"/>
      <c r="AP6" s="1"/>
      <c r="AR6" s="1"/>
      <c r="AS6" s="1"/>
      <c r="AT6" s="1"/>
      <c r="AU6" s="1"/>
    </row>
    <row r="8" spans="1:47" s="9" customFormat="1" ht="15.6" x14ac:dyDescent="0.3">
      <c r="A8" s="15" t="s">
        <v>46</v>
      </c>
      <c r="B8" s="16" t="s">
        <v>1</v>
      </c>
      <c r="C8" s="17">
        <v>45748</v>
      </c>
      <c r="D8" s="18"/>
      <c r="E8" s="18"/>
      <c r="F8" s="18"/>
      <c r="G8" s="19"/>
      <c r="H8" s="17">
        <v>45778</v>
      </c>
      <c r="I8" s="18"/>
      <c r="J8" s="18"/>
      <c r="K8" s="18"/>
      <c r="L8" s="19"/>
      <c r="M8" s="17">
        <v>45809</v>
      </c>
      <c r="N8" s="18"/>
      <c r="O8" s="18"/>
      <c r="P8" s="18"/>
      <c r="Q8" s="19"/>
      <c r="R8" s="17">
        <v>45839</v>
      </c>
      <c r="S8" s="18"/>
      <c r="T8" s="18"/>
      <c r="U8" s="18"/>
      <c r="V8" s="19"/>
      <c r="W8" s="17">
        <v>45870</v>
      </c>
      <c r="X8" s="18"/>
      <c r="Y8" s="18"/>
      <c r="Z8" s="18"/>
      <c r="AA8" s="19"/>
      <c r="AB8" s="17">
        <v>45901</v>
      </c>
      <c r="AC8" s="18"/>
      <c r="AD8" s="18"/>
      <c r="AE8" s="18"/>
      <c r="AF8" s="19"/>
      <c r="AG8" s="17">
        <v>45931</v>
      </c>
      <c r="AH8" s="18"/>
      <c r="AI8" s="18"/>
      <c r="AJ8" s="18"/>
      <c r="AK8" s="19"/>
      <c r="AL8" s="17">
        <v>45962</v>
      </c>
      <c r="AM8" s="18"/>
      <c r="AN8" s="18"/>
      <c r="AO8" s="18"/>
      <c r="AP8" s="19"/>
      <c r="AQ8" s="17">
        <v>45992</v>
      </c>
      <c r="AR8" s="18"/>
      <c r="AS8" s="18"/>
      <c r="AT8" s="18"/>
      <c r="AU8" s="19"/>
    </row>
    <row r="9" spans="1:47" s="9" customFormat="1" ht="46.8" x14ac:dyDescent="0.3">
      <c r="A9" s="16"/>
      <c r="B9" s="16"/>
      <c r="C9" s="12" t="s">
        <v>2</v>
      </c>
      <c r="D9" s="12" t="s">
        <v>3</v>
      </c>
      <c r="E9" s="12" t="s">
        <v>4</v>
      </c>
      <c r="F9" s="12" t="s">
        <v>5</v>
      </c>
      <c r="G9" s="12" t="s">
        <v>49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49</v>
      </c>
      <c r="M9" s="12" t="s">
        <v>2</v>
      </c>
      <c r="N9" s="12" t="s">
        <v>3</v>
      </c>
      <c r="O9" s="12" t="s">
        <v>4</v>
      </c>
      <c r="P9" s="12" t="s">
        <v>5</v>
      </c>
      <c r="Q9" s="12" t="s">
        <v>49</v>
      </c>
      <c r="R9" s="12" t="s">
        <v>2</v>
      </c>
      <c r="S9" s="12" t="s">
        <v>3</v>
      </c>
      <c r="T9" s="12" t="s">
        <v>4</v>
      </c>
      <c r="U9" s="12" t="s">
        <v>5</v>
      </c>
      <c r="V9" s="12" t="s">
        <v>49</v>
      </c>
      <c r="W9" s="12" t="s">
        <v>2</v>
      </c>
      <c r="X9" s="12" t="s">
        <v>3</v>
      </c>
      <c r="Y9" s="12" t="s">
        <v>4</v>
      </c>
      <c r="Z9" s="12" t="s">
        <v>5</v>
      </c>
      <c r="AA9" s="12" t="s">
        <v>49</v>
      </c>
      <c r="AB9" s="12" t="s">
        <v>2</v>
      </c>
      <c r="AC9" s="12" t="s">
        <v>3</v>
      </c>
      <c r="AD9" s="12" t="s">
        <v>4</v>
      </c>
      <c r="AE9" s="12" t="s">
        <v>5</v>
      </c>
      <c r="AF9" s="12" t="s">
        <v>49</v>
      </c>
      <c r="AG9" s="12" t="s">
        <v>2</v>
      </c>
      <c r="AH9" s="12" t="s">
        <v>3</v>
      </c>
      <c r="AI9" s="12" t="s">
        <v>4</v>
      </c>
      <c r="AJ9" s="12" t="s">
        <v>5</v>
      </c>
      <c r="AK9" s="12" t="s">
        <v>49</v>
      </c>
      <c r="AL9" s="12" t="s">
        <v>2</v>
      </c>
      <c r="AM9" s="12" t="s">
        <v>3</v>
      </c>
      <c r="AN9" s="12" t="s">
        <v>4</v>
      </c>
      <c r="AO9" s="12" t="s">
        <v>5</v>
      </c>
      <c r="AP9" s="12" t="s">
        <v>49</v>
      </c>
      <c r="AQ9" s="12" t="s">
        <v>2</v>
      </c>
      <c r="AR9" s="12" t="s">
        <v>3</v>
      </c>
      <c r="AS9" s="12" t="s">
        <v>4</v>
      </c>
      <c r="AT9" s="12" t="s">
        <v>5</v>
      </c>
      <c r="AU9" s="12" t="s">
        <v>49</v>
      </c>
    </row>
    <row r="10" spans="1:47" x14ac:dyDescent="0.3">
      <c r="A10" s="10">
        <v>1</v>
      </c>
      <c r="B10" s="2" t="s">
        <v>6</v>
      </c>
      <c r="C10" s="5">
        <v>74189</v>
      </c>
      <c r="D10" s="5">
        <v>26890</v>
      </c>
      <c r="E10" s="3">
        <f>F10-D10</f>
        <v>47080</v>
      </c>
      <c r="F10" s="5">
        <v>73970</v>
      </c>
      <c r="G10" s="4">
        <f>F10/C10</f>
        <v>0.99704807990402888</v>
      </c>
      <c r="H10" s="5">
        <v>75899</v>
      </c>
      <c r="I10" s="5">
        <v>29467</v>
      </c>
      <c r="J10" s="3">
        <f>K10-I10</f>
        <v>45202</v>
      </c>
      <c r="K10" s="5">
        <v>74669</v>
      </c>
      <c r="L10" s="4">
        <f>K10/H10</f>
        <v>0.98379425288870737</v>
      </c>
      <c r="M10" s="5">
        <v>134494</v>
      </c>
      <c r="N10" s="5">
        <v>46219</v>
      </c>
      <c r="O10" s="3">
        <f>P10-N10</f>
        <v>87676</v>
      </c>
      <c r="P10" s="5">
        <v>133895</v>
      </c>
      <c r="Q10" s="4">
        <f>P10/M10</f>
        <v>0.99554626972206939</v>
      </c>
      <c r="R10" s="5">
        <v>73914</v>
      </c>
      <c r="S10" s="5">
        <v>31327</v>
      </c>
      <c r="T10" s="3">
        <f>U10-S10</f>
        <v>41913</v>
      </c>
      <c r="U10" s="5">
        <v>73240</v>
      </c>
      <c r="V10" s="4">
        <f>U10/R10</f>
        <v>0.99088129447736562</v>
      </c>
      <c r="W10" s="5">
        <v>75592</v>
      </c>
      <c r="X10" s="5">
        <v>32125</v>
      </c>
      <c r="Y10" s="3">
        <f>Z10-X10</f>
        <v>41979</v>
      </c>
      <c r="Z10" s="5">
        <v>74104</v>
      </c>
      <c r="AA10" s="4">
        <f>Z10/W10</f>
        <v>0.98031537728860196</v>
      </c>
      <c r="AB10" s="5">
        <v>136558</v>
      </c>
      <c r="AC10" s="5">
        <v>47122</v>
      </c>
      <c r="AD10" s="3">
        <f>AE10-AC10</f>
        <v>87502</v>
      </c>
      <c r="AE10" s="5">
        <v>134624</v>
      </c>
      <c r="AF10" s="4">
        <f>AE10/AB10</f>
        <v>0.98583751958874621</v>
      </c>
      <c r="AG10" s="5">
        <v>73704</v>
      </c>
      <c r="AH10" s="5">
        <v>30987</v>
      </c>
      <c r="AI10" s="3">
        <f>AJ10-AH10</f>
        <v>41283</v>
      </c>
      <c r="AJ10" s="5">
        <v>72270</v>
      </c>
      <c r="AK10" s="4">
        <f>AJ10/AG10</f>
        <v>0.98054379680885706</v>
      </c>
      <c r="AL10" s="5">
        <v>75897</v>
      </c>
      <c r="AM10" s="5">
        <v>33166</v>
      </c>
      <c r="AN10" s="3">
        <f>AO10-AM10</f>
        <v>41052</v>
      </c>
      <c r="AO10" s="5">
        <v>74218</v>
      </c>
      <c r="AP10" s="4">
        <f>AO10/AL10</f>
        <v>0.97787791348801667</v>
      </c>
      <c r="AQ10" s="5">
        <v>140117</v>
      </c>
      <c r="AR10" s="5">
        <v>49023</v>
      </c>
      <c r="AS10" s="3">
        <f>AT10-AR10</f>
        <v>83415</v>
      </c>
      <c r="AT10" s="5">
        <v>132438</v>
      </c>
      <c r="AU10" s="4">
        <f>AT10/AQ10</f>
        <v>0.94519580065231201</v>
      </c>
    </row>
    <row r="11" spans="1:47" x14ac:dyDescent="0.3">
      <c r="A11" s="10">
        <v>2</v>
      </c>
      <c r="B11" s="2" t="s">
        <v>7</v>
      </c>
      <c r="C11" s="5">
        <v>47835</v>
      </c>
      <c r="D11" s="5">
        <v>31164</v>
      </c>
      <c r="E11" s="3">
        <f t="shared" ref="E11:E33" si="0">F11-D11</f>
        <v>16175</v>
      </c>
      <c r="F11" s="5">
        <v>47339</v>
      </c>
      <c r="G11" s="4">
        <f t="shared" ref="G11:G33" si="1">F11/C11</f>
        <v>0.98963102330929231</v>
      </c>
      <c r="H11" s="5">
        <v>49123</v>
      </c>
      <c r="I11" s="5">
        <v>31425</v>
      </c>
      <c r="J11" s="3">
        <f t="shared" ref="J11:J33" si="2">K11-I11</f>
        <v>16614</v>
      </c>
      <c r="K11" s="5">
        <v>48039</v>
      </c>
      <c r="L11" s="4">
        <f t="shared" ref="L11:L33" si="3">K11/H11</f>
        <v>0.97793294383486351</v>
      </c>
      <c r="M11" s="5">
        <v>111861</v>
      </c>
      <c r="N11" s="5">
        <v>63258</v>
      </c>
      <c r="O11" s="3">
        <f t="shared" ref="O11:O33" si="4">P11-N11</f>
        <v>47749</v>
      </c>
      <c r="P11" s="5">
        <v>111007</v>
      </c>
      <c r="Q11" s="4">
        <f t="shared" ref="Q11:Q33" si="5">P11/M11</f>
        <v>0.99236552507129383</v>
      </c>
      <c r="R11" s="5">
        <v>47958</v>
      </c>
      <c r="S11" s="5">
        <v>31635</v>
      </c>
      <c r="T11" s="3">
        <f t="shared" ref="T11:T33" si="6">U11-S11</f>
        <v>15633</v>
      </c>
      <c r="U11" s="5">
        <v>47268</v>
      </c>
      <c r="V11" s="4">
        <f t="shared" ref="V11:V33" si="7">U11/R11</f>
        <v>0.98561241085950202</v>
      </c>
      <c r="W11" s="5">
        <v>49731</v>
      </c>
      <c r="X11" s="5">
        <v>33014</v>
      </c>
      <c r="Y11" s="3">
        <f t="shared" ref="Y11:Y33" si="8">Z11-X11</f>
        <v>14835</v>
      </c>
      <c r="Z11" s="5">
        <v>47849</v>
      </c>
      <c r="AA11" s="4">
        <f t="shared" ref="AA11:AA33" si="9">Z11/W11</f>
        <v>0.96215640143974579</v>
      </c>
      <c r="AB11" s="5">
        <v>113134</v>
      </c>
      <c r="AC11" s="5">
        <v>61764</v>
      </c>
      <c r="AD11" s="3">
        <f t="shared" ref="AD11:AD33" si="10">AE11-AC11</f>
        <v>49140</v>
      </c>
      <c r="AE11" s="5">
        <v>110904</v>
      </c>
      <c r="AF11" s="4">
        <f t="shared" ref="AF11:AF33" si="11">AE11/AB11</f>
        <v>0.98028886099669421</v>
      </c>
      <c r="AG11" s="5">
        <v>48119</v>
      </c>
      <c r="AH11" s="5">
        <v>32208</v>
      </c>
      <c r="AI11" s="3">
        <f t="shared" ref="AI11:AI33" si="12">AJ11-AH11</f>
        <v>14611</v>
      </c>
      <c r="AJ11" s="5">
        <v>46819</v>
      </c>
      <c r="AK11" s="4">
        <f t="shared" ref="AK11:AK33" si="13">AJ11/AG11</f>
        <v>0.97298364471414622</v>
      </c>
      <c r="AL11" s="5">
        <v>49938</v>
      </c>
      <c r="AM11" s="5">
        <v>34181</v>
      </c>
      <c r="AN11" s="3">
        <f t="shared" ref="AN11:AN33" si="14">AO11-AM11</f>
        <v>13597</v>
      </c>
      <c r="AO11" s="5">
        <v>47778</v>
      </c>
      <c r="AP11" s="4">
        <f t="shared" ref="AP11:AP33" si="15">AO11/AL11</f>
        <v>0.95674636549321157</v>
      </c>
      <c r="AQ11" s="5">
        <v>114343</v>
      </c>
      <c r="AR11" s="5">
        <v>66694</v>
      </c>
      <c r="AS11" s="3">
        <f t="shared" ref="AS11:AS33" si="16">AT11-AR11</f>
        <v>41875</v>
      </c>
      <c r="AT11" s="5">
        <v>108569</v>
      </c>
      <c r="AU11" s="4">
        <f t="shared" ref="AU11:AU33" si="17">AT11/AQ11</f>
        <v>0.94950281171562756</v>
      </c>
    </row>
    <row r="12" spans="1:47" x14ac:dyDescent="0.3">
      <c r="A12" s="10">
        <v>3</v>
      </c>
      <c r="B12" s="2" t="s">
        <v>8</v>
      </c>
      <c r="C12" s="5">
        <v>182748</v>
      </c>
      <c r="D12" s="5">
        <v>137553</v>
      </c>
      <c r="E12" s="3">
        <f t="shared" si="0"/>
        <v>43796</v>
      </c>
      <c r="F12" s="5">
        <v>181349</v>
      </c>
      <c r="G12" s="4">
        <f t="shared" si="1"/>
        <v>0.992344649462648</v>
      </c>
      <c r="H12" s="5">
        <v>186824</v>
      </c>
      <c r="I12" s="5">
        <v>143150</v>
      </c>
      <c r="J12" s="3">
        <f t="shared" si="2"/>
        <v>40872</v>
      </c>
      <c r="K12" s="5">
        <v>184022</v>
      </c>
      <c r="L12" s="4">
        <f t="shared" si="3"/>
        <v>0.98500192694728728</v>
      </c>
      <c r="M12" s="5">
        <v>372375</v>
      </c>
      <c r="N12" s="5">
        <v>264172</v>
      </c>
      <c r="O12" s="3">
        <f t="shared" si="4"/>
        <v>106148</v>
      </c>
      <c r="P12" s="5">
        <v>370320</v>
      </c>
      <c r="Q12" s="4">
        <f t="shared" si="5"/>
        <v>0.99448136958710975</v>
      </c>
      <c r="R12" s="5">
        <v>184659</v>
      </c>
      <c r="S12" s="5">
        <v>142739</v>
      </c>
      <c r="T12" s="3">
        <f t="shared" si="6"/>
        <v>39869</v>
      </c>
      <c r="U12" s="5">
        <v>182608</v>
      </c>
      <c r="V12" s="4">
        <f t="shared" si="7"/>
        <v>0.98889304068580464</v>
      </c>
      <c r="W12" s="5">
        <v>189081</v>
      </c>
      <c r="X12" s="5">
        <v>144805</v>
      </c>
      <c r="Y12" s="3">
        <f t="shared" si="8"/>
        <v>39672</v>
      </c>
      <c r="Z12" s="5">
        <v>184477</v>
      </c>
      <c r="AA12" s="4">
        <f t="shared" si="9"/>
        <v>0.97565064707717852</v>
      </c>
      <c r="AB12" s="5">
        <v>377441</v>
      </c>
      <c r="AC12" s="5">
        <v>261092</v>
      </c>
      <c r="AD12" s="3">
        <f t="shared" si="10"/>
        <v>109631</v>
      </c>
      <c r="AE12" s="5">
        <v>370723</v>
      </c>
      <c r="AF12" s="4">
        <f t="shared" si="11"/>
        <v>0.98220119170943276</v>
      </c>
      <c r="AG12" s="5">
        <v>186148</v>
      </c>
      <c r="AH12" s="5">
        <v>142708</v>
      </c>
      <c r="AI12" s="3">
        <f t="shared" si="12"/>
        <v>39546</v>
      </c>
      <c r="AJ12" s="5">
        <v>182254</v>
      </c>
      <c r="AK12" s="4">
        <f t="shared" si="13"/>
        <v>0.97908116122655087</v>
      </c>
      <c r="AL12" s="5">
        <v>192239</v>
      </c>
      <c r="AM12" s="5">
        <v>149645</v>
      </c>
      <c r="AN12" s="3">
        <f t="shared" si="14"/>
        <v>37536</v>
      </c>
      <c r="AO12" s="5">
        <v>187181</v>
      </c>
      <c r="AP12" s="4">
        <f t="shared" si="15"/>
        <v>0.97368900171141126</v>
      </c>
      <c r="AQ12" s="5">
        <v>384779</v>
      </c>
      <c r="AR12" s="5">
        <v>271389</v>
      </c>
      <c r="AS12" s="3">
        <f t="shared" si="16"/>
        <v>94429</v>
      </c>
      <c r="AT12" s="5">
        <v>365818</v>
      </c>
      <c r="AU12" s="4">
        <f t="shared" si="17"/>
        <v>0.95072236270690447</v>
      </c>
    </row>
    <row r="13" spans="1:47" x14ac:dyDescent="0.3">
      <c r="A13" s="10">
        <v>4</v>
      </c>
      <c r="B13" s="2" t="s">
        <v>9</v>
      </c>
      <c r="C13" s="5">
        <v>18035</v>
      </c>
      <c r="D13" s="5">
        <v>14074</v>
      </c>
      <c r="E13" s="3">
        <f t="shared" si="0"/>
        <v>3889</v>
      </c>
      <c r="F13" s="5">
        <v>17963</v>
      </c>
      <c r="G13" s="4">
        <f t="shared" si="1"/>
        <v>0.99600776268367064</v>
      </c>
      <c r="H13" s="5">
        <v>18257</v>
      </c>
      <c r="I13" s="5">
        <v>14302</v>
      </c>
      <c r="J13" s="3">
        <f t="shared" si="2"/>
        <v>3737</v>
      </c>
      <c r="K13" s="5">
        <v>18039</v>
      </c>
      <c r="L13" s="4">
        <f t="shared" si="3"/>
        <v>0.98805937448649828</v>
      </c>
      <c r="M13" s="5">
        <v>29011</v>
      </c>
      <c r="N13" s="5">
        <v>21851</v>
      </c>
      <c r="O13" s="3">
        <f t="shared" si="4"/>
        <v>7102</v>
      </c>
      <c r="P13" s="5">
        <v>28953</v>
      </c>
      <c r="Q13" s="4">
        <f t="shared" si="5"/>
        <v>0.99800075833304613</v>
      </c>
      <c r="R13" s="5">
        <v>18140</v>
      </c>
      <c r="S13" s="5">
        <v>14390</v>
      </c>
      <c r="T13" s="3">
        <f t="shared" si="6"/>
        <v>3662</v>
      </c>
      <c r="U13" s="5">
        <v>18052</v>
      </c>
      <c r="V13" s="4">
        <f t="shared" si="7"/>
        <v>0.99514884233737599</v>
      </c>
      <c r="W13" s="5">
        <v>18401</v>
      </c>
      <c r="X13" s="5">
        <v>14748</v>
      </c>
      <c r="Y13" s="3">
        <f t="shared" si="8"/>
        <v>3360</v>
      </c>
      <c r="Z13" s="5">
        <v>18108</v>
      </c>
      <c r="AA13" s="4">
        <f t="shared" si="9"/>
        <v>0.98407695233954673</v>
      </c>
      <c r="AB13" s="5">
        <v>29242</v>
      </c>
      <c r="AC13" s="5">
        <v>21722</v>
      </c>
      <c r="AD13" s="3">
        <f t="shared" si="10"/>
        <v>7199</v>
      </c>
      <c r="AE13" s="5">
        <v>28921</v>
      </c>
      <c r="AF13" s="4">
        <f t="shared" si="11"/>
        <v>0.98902263867040563</v>
      </c>
      <c r="AG13" s="5">
        <v>18261</v>
      </c>
      <c r="AH13" s="5">
        <v>14594</v>
      </c>
      <c r="AI13" s="3">
        <f t="shared" si="12"/>
        <v>3501</v>
      </c>
      <c r="AJ13" s="5">
        <v>18095</v>
      </c>
      <c r="AK13" s="4">
        <f t="shared" si="13"/>
        <v>0.99090958874103285</v>
      </c>
      <c r="AL13" s="5">
        <v>18637</v>
      </c>
      <c r="AM13" s="5">
        <v>15063</v>
      </c>
      <c r="AN13" s="3">
        <f t="shared" si="14"/>
        <v>3217</v>
      </c>
      <c r="AO13" s="5">
        <v>18280</v>
      </c>
      <c r="AP13" s="4">
        <f t="shared" si="15"/>
        <v>0.98084455652733804</v>
      </c>
      <c r="AQ13" s="5">
        <v>29668</v>
      </c>
      <c r="AR13" s="5">
        <v>22391</v>
      </c>
      <c r="AS13" s="3">
        <f t="shared" si="16"/>
        <v>5981</v>
      </c>
      <c r="AT13" s="5">
        <v>28372</v>
      </c>
      <c r="AU13" s="4">
        <f t="shared" si="17"/>
        <v>0.95631657004179582</v>
      </c>
    </row>
    <row r="14" spans="1:47" x14ac:dyDescent="0.3">
      <c r="A14" s="10">
        <v>5</v>
      </c>
      <c r="B14" s="2" t="s">
        <v>10</v>
      </c>
      <c r="C14" s="5">
        <v>94613</v>
      </c>
      <c r="D14" s="5">
        <v>52904</v>
      </c>
      <c r="E14" s="3">
        <f t="shared" si="0"/>
        <v>42041</v>
      </c>
      <c r="F14" s="5">
        <v>94945</v>
      </c>
      <c r="G14" s="4">
        <f t="shared" si="1"/>
        <v>1.003509031528437</v>
      </c>
      <c r="H14" s="5">
        <v>97351</v>
      </c>
      <c r="I14" s="5">
        <v>53620</v>
      </c>
      <c r="J14" s="3">
        <f t="shared" si="2"/>
        <v>43254</v>
      </c>
      <c r="K14" s="5">
        <v>96874</v>
      </c>
      <c r="L14" s="4">
        <f t="shared" si="3"/>
        <v>0.99510020441495206</v>
      </c>
      <c r="M14" s="5">
        <v>172809</v>
      </c>
      <c r="N14" s="5">
        <v>84785</v>
      </c>
      <c r="O14" s="3">
        <f t="shared" si="4"/>
        <v>87422</v>
      </c>
      <c r="P14" s="5">
        <v>172207</v>
      </c>
      <c r="Q14" s="4">
        <f t="shared" si="5"/>
        <v>0.9965163851419776</v>
      </c>
      <c r="R14" s="5">
        <v>97326</v>
      </c>
      <c r="S14" s="5">
        <v>54524</v>
      </c>
      <c r="T14" s="3">
        <f t="shared" si="6"/>
        <v>41341</v>
      </c>
      <c r="U14" s="5">
        <v>95865</v>
      </c>
      <c r="V14" s="4">
        <f t="shared" si="7"/>
        <v>0.98498859503113245</v>
      </c>
      <c r="W14" s="5">
        <v>98912</v>
      </c>
      <c r="X14" s="5">
        <v>56376</v>
      </c>
      <c r="Y14" s="3">
        <f t="shared" si="8"/>
        <v>40535</v>
      </c>
      <c r="Z14" s="5">
        <v>96911</v>
      </c>
      <c r="AA14" s="4">
        <f t="shared" si="9"/>
        <v>0.97976989647363311</v>
      </c>
      <c r="AB14" s="5">
        <v>175426</v>
      </c>
      <c r="AC14" s="5">
        <v>84017</v>
      </c>
      <c r="AD14" s="3">
        <f t="shared" si="10"/>
        <v>88935</v>
      </c>
      <c r="AE14" s="5">
        <v>172952</v>
      </c>
      <c r="AF14" s="4">
        <f t="shared" si="11"/>
        <v>0.98589718741805665</v>
      </c>
      <c r="AG14" s="5">
        <v>98057</v>
      </c>
      <c r="AH14" s="5">
        <v>55345</v>
      </c>
      <c r="AI14" s="3">
        <f t="shared" si="12"/>
        <v>40871</v>
      </c>
      <c r="AJ14" s="5">
        <v>96216</v>
      </c>
      <c r="AK14" s="4">
        <f t="shared" si="13"/>
        <v>0.98122520574767735</v>
      </c>
      <c r="AL14" s="5">
        <v>101581</v>
      </c>
      <c r="AM14" s="5">
        <v>58706</v>
      </c>
      <c r="AN14" s="3">
        <f t="shared" si="14"/>
        <v>40974</v>
      </c>
      <c r="AO14" s="5">
        <v>99680</v>
      </c>
      <c r="AP14" s="4">
        <f t="shared" si="15"/>
        <v>0.98128587038914761</v>
      </c>
      <c r="AQ14" s="5">
        <v>182247</v>
      </c>
      <c r="AR14" s="5">
        <v>89769</v>
      </c>
      <c r="AS14" s="3">
        <f t="shared" si="16"/>
        <v>81564</v>
      </c>
      <c r="AT14" s="5">
        <v>171333</v>
      </c>
      <c r="AU14" s="4">
        <f t="shared" si="17"/>
        <v>0.94011424056363069</v>
      </c>
    </row>
    <row r="15" spans="1:47" x14ac:dyDescent="0.3">
      <c r="A15" s="10">
        <v>6</v>
      </c>
      <c r="B15" s="2" t="s">
        <v>11</v>
      </c>
      <c r="C15" s="5">
        <v>324796</v>
      </c>
      <c r="D15" s="5">
        <v>237782</v>
      </c>
      <c r="E15" s="3">
        <f t="shared" si="0"/>
        <v>85521</v>
      </c>
      <c r="F15" s="5">
        <v>323303</v>
      </c>
      <c r="G15" s="4">
        <f t="shared" si="1"/>
        <v>0.99540326851315908</v>
      </c>
      <c r="H15" s="5">
        <v>331968</v>
      </c>
      <c r="I15" s="5">
        <v>244062</v>
      </c>
      <c r="J15" s="3">
        <f t="shared" si="2"/>
        <v>84753</v>
      </c>
      <c r="K15" s="5">
        <v>328815</v>
      </c>
      <c r="L15" s="4">
        <f t="shared" si="3"/>
        <v>0.99050209658762289</v>
      </c>
      <c r="M15" s="5">
        <v>549212</v>
      </c>
      <c r="N15" s="5">
        <v>382920</v>
      </c>
      <c r="O15" s="3">
        <f t="shared" si="4"/>
        <v>164388</v>
      </c>
      <c r="P15" s="5">
        <v>547308</v>
      </c>
      <c r="Q15" s="4">
        <f t="shared" si="5"/>
        <v>0.9965332148605639</v>
      </c>
      <c r="R15" s="5">
        <v>333160</v>
      </c>
      <c r="S15" s="5">
        <v>247228</v>
      </c>
      <c r="T15" s="3">
        <f t="shared" si="6"/>
        <v>83303</v>
      </c>
      <c r="U15" s="5">
        <v>330531</v>
      </c>
      <c r="V15" s="4">
        <f t="shared" si="7"/>
        <v>0.99210889662624568</v>
      </c>
      <c r="W15" s="5">
        <v>340519</v>
      </c>
      <c r="X15" s="5">
        <v>254306</v>
      </c>
      <c r="Y15" s="3">
        <f t="shared" si="8"/>
        <v>80364</v>
      </c>
      <c r="Z15" s="5">
        <v>334670</v>
      </c>
      <c r="AA15" s="4">
        <f t="shared" si="9"/>
        <v>0.98282327858357388</v>
      </c>
      <c r="AB15" s="5">
        <v>562036</v>
      </c>
      <c r="AC15" s="5">
        <v>383246</v>
      </c>
      <c r="AD15" s="3">
        <f t="shared" si="10"/>
        <v>170526</v>
      </c>
      <c r="AE15" s="5">
        <v>553772</v>
      </c>
      <c r="AF15" s="4">
        <f t="shared" si="11"/>
        <v>0.98529631553850638</v>
      </c>
      <c r="AG15" s="5">
        <v>340264</v>
      </c>
      <c r="AH15" s="5">
        <v>250894</v>
      </c>
      <c r="AI15" s="3">
        <f t="shared" si="12"/>
        <v>82766</v>
      </c>
      <c r="AJ15" s="5">
        <v>333660</v>
      </c>
      <c r="AK15" s="4">
        <f t="shared" si="13"/>
        <v>0.98059154068605558</v>
      </c>
      <c r="AL15" s="5">
        <v>350627</v>
      </c>
      <c r="AM15" s="5">
        <v>263384</v>
      </c>
      <c r="AN15" s="3">
        <f t="shared" si="14"/>
        <v>80630</v>
      </c>
      <c r="AO15" s="5">
        <v>344014</v>
      </c>
      <c r="AP15" s="4">
        <f t="shared" si="15"/>
        <v>0.98113950152155993</v>
      </c>
      <c r="AQ15" s="5">
        <v>580651</v>
      </c>
      <c r="AR15" s="5">
        <v>405189</v>
      </c>
      <c r="AS15" s="3">
        <f t="shared" si="16"/>
        <v>148875</v>
      </c>
      <c r="AT15" s="5">
        <v>554064</v>
      </c>
      <c r="AU15" s="4">
        <f t="shared" si="17"/>
        <v>0.95421173820418803</v>
      </c>
    </row>
    <row r="16" spans="1:47" x14ac:dyDescent="0.3">
      <c r="A16" s="10">
        <v>7</v>
      </c>
      <c r="B16" s="2" t="s">
        <v>12</v>
      </c>
      <c r="C16" s="5">
        <v>453518</v>
      </c>
      <c r="D16" s="5">
        <v>331306</v>
      </c>
      <c r="E16" s="3">
        <f t="shared" si="0"/>
        <v>118651</v>
      </c>
      <c r="F16" s="5">
        <v>449957</v>
      </c>
      <c r="G16" s="4">
        <f t="shared" si="1"/>
        <v>0.99214805145550999</v>
      </c>
      <c r="H16" s="5">
        <v>461360</v>
      </c>
      <c r="I16" s="5">
        <v>338620</v>
      </c>
      <c r="J16" s="3">
        <f t="shared" si="2"/>
        <v>118730</v>
      </c>
      <c r="K16" s="5">
        <v>457350</v>
      </c>
      <c r="L16" s="4">
        <f t="shared" si="3"/>
        <v>0.9913083058782729</v>
      </c>
      <c r="M16" s="5">
        <v>788355</v>
      </c>
      <c r="N16" s="5">
        <v>571983</v>
      </c>
      <c r="O16" s="3">
        <f t="shared" si="4"/>
        <v>214896</v>
      </c>
      <c r="P16" s="5">
        <v>786879</v>
      </c>
      <c r="Q16" s="4">
        <f t="shared" si="5"/>
        <v>0.99812774701752383</v>
      </c>
      <c r="R16" s="5">
        <v>462019</v>
      </c>
      <c r="S16" s="5">
        <v>341531</v>
      </c>
      <c r="T16" s="3">
        <f t="shared" si="6"/>
        <v>117903</v>
      </c>
      <c r="U16" s="5">
        <v>459434</v>
      </c>
      <c r="V16" s="4">
        <f t="shared" si="7"/>
        <v>0.99440499200249344</v>
      </c>
      <c r="W16" s="5">
        <v>472236</v>
      </c>
      <c r="X16" s="5">
        <v>351081</v>
      </c>
      <c r="Y16" s="3">
        <f t="shared" si="8"/>
        <v>112634</v>
      </c>
      <c r="Z16" s="5">
        <v>463715</v>
      </c>
      <c r="AA16" s="4">
        <f t="shared" si="9"/>
        <v>0.98195605587036994</v>
      </c>
      <c r="AB16" s="5">
        <v>804216</v>
      </c>
      <c r="AC16" s="5">
        <v>569162</v>
      </c>
      <c r="AD16" s="3">
        <f t="shared" si="10"/>
        <v>223436</v>
      </c>
      <c r="AE16" s="5">
        <v>792598</v>
      </c>
      <c r="AF16" s="4">
        <f t="shared" si="11"/>
        <v>0.98555363235747606</v>
      </c>
      <c r="AG16" s="5">
        <v>471201</v>
      </c>
      <c r="AH16" s="5">
        <v>346892</v>
      </c>
      <c r="AI16" s="3">
        <f t="shared" si="12"/>
        <v>114593</v>
      </c>
      <c r="AJ16" s="5">
        <v>461485</v>
      </c>
      <c r="AK16" s="4">
        <f t="shared" si="13"/>
        <v>0.97938034936258622</v>
      </c>
      <c r="AL16" s="5">
        <v>484445</v>
      </c>
      <c r="AM16" s="5">
        <v>361515</v>
      </c>
      <c r="AN16" s="3">
        <f t="shared" si="14"/>
        <v>115465</v>
      </c>
      <c r="AO16" s="5">
        <v>476980</v>
      </c>
      <c r="AP16" s="4">
        <f t="shared" si="15"/>
        <v>0.98459061400158943</v>
      </c>
      <c r="AQ16" s="5">
        <v>831010</v>
      </c>
      <c r="AR16" s="5">
        <v>596996</v>
      </c>
      <c r="AS16" s="3">
        <f t="shared" si="16"/>
        <v>195146</v>
      </c>
      <c r="AT16" s="5">
        <v>792142</v>
      </c>
      <c r="AU16" s="4">
        <f t="shared" si="17"/>
        <v>0.9532279996630606</v>
      </c>
    </row>
    <row r="17" spans="1:47" x14ac:dyDescent="0.3">
      <c r="A17" s="10">
        <v>8</v>
      </c>
      <c r="B17" s="2" t="s">
        <v>13</v>
      </c>
      <c r="C17" s="5">
        <v>342259</v>
      </c>
      <c r="D17" s="5">
        <v>233085</v>
      </c>
      <c r="E17" s="3">
        <f t="shared" si="0"/>
        <v>105831</v>
      </c>
      <c r="F17" s="5">
        <v>338916</v>
      </c>
      <c r="G17" s="4">
        <f t="shared" si="1"/>
        <v>0.9902325431909752</v>
      </c>
      <c r="H17" s="5">
        <v>352243</v>
      </c>
      <c r="I17" s="5">
        <v>242386</v>
      </c>
      <c r="J17" s="3">
        <f t="shared" si="2"/>
        <v>104387</v>
      </c>
      <c r="K17" s="5">
        <v>346773</v>
      </c>
      <c r="L17" s="4">
        <f t="shared" si="3"/>
        <v>0.98447094761286957</v>
      </c>
      <c r="M17" s="5">
        <v>765449</v>
      </c>
      <c r="N17" s="5">
        <v>462950</v>
      </c>
      <c r="O17" s="3">
        <f t="shared" si="4"/>
        <v>299999</v>
      </c>
      <c r="P17" s="5">
        <v>762949</v>
      </c>
      <c r="Q17" s="4">
        <f t="shared" si="5"/>
        <v>0.99673394308438579</v>
      </c>
      <c r="R17" s="5">
        <v>346814</v>
      </c>
      <c r="S17" s="5">
        <v>243048</v>
      </c>
      <c r="T17" s="3">
        <f t="shared" si="6"/>
        <v>102384</v>
      </c>
      <c r="U17" s="5">
        <v>345432</v>
      </c>
      <c r="V17" s="4">
        <f t="shared" si="7"/>
        <v>0.99601515509754512</v>
      </c>
      <c r="W17" s="5">
        <v>360071</v>
      </c>
      <c r="X17" s="5">
        <v>250252</v>
      </c>
      <c r="Y17" s="3">
        <f t="shared" si="8"/>
        <v>103168</v>
      </c>
      <c r="Z17" s="5">
        <v>353420</v>
      </c>
      <c r="AA17" s="4">
        <f t="shared" si="9"/>
        <v>0.98152864296208253</v>
      </c>
      <c r="AB17" s="5">
        <v>784641</v>
      </c>
      <c r="AC17" s="5">
        <v>466601</v>
      </c>
      <c r="AD17" s="3">
        <f t="shared" si="10"/>
        <v>307708</v>
      </c>
      <c r="AE17" s="5">
        <v>774309</v>
      </c>
      <c r="AF17" s="4">
        <f t="shared" si="11"/>
        <v>0.98683219459599991</v>
      </c>
      <c r="AG17" s="5">
        <v>355351</v>
      </c>
      <c r="AH17" s="5">
        <v>245152</v>
      </c>
      <c r="AI17" s="3">
        <f t="shared" si="12"/>
        <v>105063</v>
      </c>
      <c r="AJ17" s="5">
        <v>350215</v>
      </c>
      <c r="AK17" s="4">
        <f t="shared" si="13"/>
        <v>0.98554668482711461</v>
      </c>
      <c r="AL17" s="5">
        <v>371770</v>
      </c>
      <c r="AM17" s="5">
        <v>259789</v>
      </c>
      <c r="AN17" s="3">
        <f t="shared" si="14"/>
        <v>103838</v>
      </c>
      <c r="AO17" s="5">
        <v>363627</v>
      </c>
      <c r="AP17" s="4">
        <f t="shared" si="15"/>
        <v>0.97809667267396505</v>
      </c>
      <c r="AQ17" s="5">
        <v>810773</v>
      </c>
      <c r="AR17" s="5">
        <v>496725</v>
      </c>
      <c r="AS17" s="3">
        <f t="shared" si="16"/>
        <v>274313</v>
      </c>
      <c r="AT17" s="5">
        <v>771038</v>
      </c>
      <c r="AU17" s="4">
        <f t="shared" si="17"/>
        <v>0.95099121455697222</v>
      </c>
    </row>
    <row r="18" spans="1:47" x14ac:dyDescent="0.3">
      <c r="A18" s="10">
        <v>9</v>
      </c>
      <c r="B18" s="2" t="s">
        <v>14</v>
      </c>
      <c r="C18" s="5">
        <v>1070856</v>
      </c>
      <c r="D18" s="5">
        <v>520452</v>
      </c>
      <c r="E18" s="3">
        <f t="shared" si="0"/>
        <v>540304</v>
      </c>
      <c r="F18" s="5">
        <v>1060756</v>
      </c>
      <c r="G18" s="4">
        <f t="shared" si="1"/>
        <v>0.99056829302912808</v>
      </c>
      <c r="H18" s="5">
        <v>1089051</v>
      </c>
      <c r="I18" s="5">
        <v>523941</v>
      </c>
      <c r="J18" s="3">
        <f t="shared" si="2"/>
        <v>552810</v>
      </c>
      <c r="K18" s="5">
        <v>1076751</v>
      </c>
      <c r="L18" s="4">
        <f t="shared" si="3"/>
        <v>0.98870576309098468</v>
      </c>
      <c r="M18" s="5">
        <v>1637429</v>
      </c>
      <c r="N18" s="5">
        <v>752788</v>
      </c>
      <c r="O18" s="3">
        <f t="shared" si="4"/>
        <v>869674</v>
      </c>
      <c r="P18" s="5">
        <v>1622462</v>
      </c>
      <c r="Q18" s="4">
        <f t="shared" si="5"/>
        <v>0.9908594510052039</v>
      </c>
      <c r="R18" s="5">
        <v>1090030</v>
      </c>
      <c r="S18" s="5">
        <v>533061</v>
      </c>
      <c r="T18" s="3">
        <f t="shared" si="6"/>
        <v>539848</v>
      </c>
      <c r="U18" s="5">
        <v>1072909</v>
      </c>
      <c r="V18" s="4">
        <f t="shared" si="7"/>
        <v>0.98429309285065547</v>
      </c>
      <c r="W18" s="5">
        <v>1107435</v>
      </c>
      <c r="X18" s="5">
        <v>551006</v>
      </c>
      <c r="Y18" s="3">
        <f t="shared" si="8"/>
        <v>530370</v>
      </c>
      <c r="Z18" s="5">
        <v>1081376</v>
      </c>
      <c r="AA18" s="4">
        <f t="shared" si="9"/>
        <v>0.97646904784479449</v>
      </c>
      <c r="AB18" s="5">
        <v>1665905</v>
      </c>
      <c r="AC18" s="5">
        <v>746798</v>
      </c>
      <c r="AD18" s="3">
        <f t="shared" si="10"/>
        <v>883540</v>
      </c>
      <c r="AE18" s="5">
        <v>1630338</v>
      </c>
      <c r="AF18" s="4">
        <f t="shared" si="11"/>
        <v>0.97865004306968284</v>
      </c>
      <c r="AG18" s="5">
        <v>1104366</v>
      </c>
      <c r="AH18" s="5">
        <v>538807</v>
      </c>
      <c r="AI18" s="3">
        <f t="shared" si="12"/>
        <v>536661</v>
      </c>
      <c r="AJ18" s="5">
        <v>1075468</v>
      </c>
      <c r="AK18" s="4">
        <f t="shared" si="13"/>
        <v>0.97383295030814054</v>
      </c>
      <c r="AL18" s="5">
        <v>1131950</v>
      </c>
      <c r="AM18" s="5">
        <v>568005</v>
      </c>
      <c r="AN18" s="3">
        <f t="shared" si="14"/>
        <v>536351</v>
      </c>
      <c r="AO18" s="5">
        <v>1104356</v>
      </c>
      <c r="AP18" s="4">
        <f t="shared" si="15"/>
        <v>0.97562259817129737</v>
      </c>
      <c r="AQ18" s="5">
        <v>1717059</v>
      </c>
      <c r="AR18" s="5">
        <v>791958</v>
      </c>
      <c r="AS18" s="3">
        <f t="shared" si="16"/>
        <v>830702</v>
      </c>
      <c r="AT18" s="5">
        <v>1622660</v>
      </c>
      <c r="AU18" s="4">
        <f t="shared" si="17"/>
        <v>0.9450228559414674</v>
      </c>
    </row>
    <row r="19" spans="1:47" x14ac:dyDescent="0.3">
      <c r="A19" s="11">
        <v>10</v>
      </c>
      <c r="B19" s="2" t="s">
        <v>15</v>
      </c>
      <c r="C19" s="5">
        <v>305619</v>
      </c>
      <c r="D19" s="5">
        <v>120994</v>
      </c>
      <c r="E19" s="3">
        <f t="shared" si="0"/>
        <v>177250</v>
      </c>
      <c r="F19" s="5">
        <v>298244</v>
      </c>
      <c r="G19" s="4">
        <f t="shared" si="1"/>
        <v>0.9758686469100416</v>
      </c>
      <c r="H19" s="5">
        <v>314567</v>
      </c>
      <c r="I19" s="5">
        <v>122508</v>
      </c>
      <c r="J19" s="3">
        <f t="shared" si="2"/>
        <v>182310</v>
      </c>
      <c r="K19" s="5">
        <v>304818</v>
      </c>
      <c r="L19" s="4">
        <f t="shared" si="3"/>
        <v>0.96900819221342349</v>
      </c>
      <c r="M19" s="5">
        <v>534704</v>
      </c>
      <c r="N19" s="5">
        <v>194165</v>
      </c>
      <c r="O19" s="3">
        <f t="shared" si="4"/>
        <v>329970</v>
      </c>
      <c r="P19" s="5">
        <v>524135</v>
      </c>
      <c r="Q19" s="4">
        <f t="shared" si="5"/>
        <v>0.98023392381579344</v>
      </c>
      <c r="R19" s="5">
        <v>310887</v>
      </c>
      <c r="S19" s="5">
        <v>125869</v>
      </c>
      <c r="T19" s="3">
        <f t="shared" si="6"/>
        <v>176462</v>
      </c>
      <c r="U19" s="5">
        <v>302331</v>
      </c>
      <c r="V19" s="4">
        <f t="shared" si="7"/>
        <v>0.97247874629688602</v>
      </c>
      <c r="W19" s="5">
        <v>321022</v>
      </c>
      <c r="X19" s="5">
        <v>131055</v>
      </c>
      <c r="Y19" s="3">
        <f t="shared" si="8"/>
        <v>175010</v>
      </c>
      <c r="Z19" s="5">
        <v>306065</v>
      </c>
      <c r="AA19" s="4">
        <f t="shared" si="9"/>
        <v>0.95340817763268559</v>
      </c>
      <c r="AB19" s="5">
        <v>548160</v>
      </c>
      <c r="AC19" s="5">
        <v>186390</v>
      </c>
      <c r="AD19" s="3">
        <f t="shared" si="10"/>
        <v>339162</v>
      </c>
      <c r="AE19" s="5">
        <v>525552</v>
      </c>
      <c r="AF19" s="4">
        <f t="shared" si="11"/>
        <v>0.95875656742556914</v>
      </c>
      <c r="AG19" s="5">
        <v>315587</v>
      </c>
      <c r="AH19" s="5">
        <v>120075</v>
      </c>
      <c r="AI19" s="3">
        <f t="shared" si="12"/>
        <v>180321</v>
      </c>
      <c r="AJ19" s="5">
        <v>300396</v>
      </c>
      <c r="AK19" s="4">
        <f t="shared" si="13"/>
        <v>0.95186430366269836</v>
      </c>
      <c r="AL19" s="5">
        <v>327315</v>
      </c>
      <c r="AM19" s="5">
        <v>133094</v>
      </c>
      <c r="AN19" s="3">
        <f t="shared" si="14"/>
        <v>176015</v>
      </c>
      <c r="AO19" s="5">
        <v>309109</v>
      </c>
      <c r="AP19" s="4">
        <f t="shared" si="15"/>
        <v>0.94437774009745967</v>
      </c>
      <c r="AQ19" s="5">
        <v>564697</v>
      </c>
      <c r="AR19" s="5">
        <v>202335</v>
      </c>
      <c r="AS19" s="3">
        <f t="shared" si="16"/>
        <v>314282</v>
      </c>
      <c r="AT19" s="5">
        <v>516617</v>
      </c>
      <c r="AU19" s="4">
        <f t="shared" si="17"/>
        <v>0.91485699410480315</v>
      </c>
    </row>
    <row r="20" spans="1:47" x14ac:dyDescent="0.3">
      <c r="A20" s="11">
        <v>11</v>
      </c>
      <c r="B20" s="2" t="s">
        <v>16</v>
      </c>
      <c r="C20" s="5">
        <v>6537</v>
      </c>
      <c r="D20" s="5">
        <v>2587</v>
      </c>
      <c r="E20" s="3">
        <f t="shared" si="0"/>
        <v>3827</v>
      </c>
      <c r="F20" s="5">
        <v>6414</v>
      </c>
      <c r="G20" s="4">
        <f t="shared" si="1"/>
        <v>0.98118402937127125</v>
      </c>
      <c r="H20" s="5">
        <v>6601</v>
      </c>
      <c r="I20" s="5">
        <v>2670</v>
      </c>
      <c r="J20" s="3">
        <f t="shared" si="2"/>
        <v>3767</v>
      </c>
      <c r="K20" s="5">
        <v>6437</v>
      </c>
      <c r="L20" s="4">
        <f t="shared" si="3"/>
        <v>0.97515527950310554</v>
      </c>
      <c r="M20" s="5">
        <v>10050</v>
      </c>
      <c r="N20" s="5">
        <v>4468</v>
      </c>
      <c r="O20" s="3">
        <f t="shared" si="4"/>
        <v>5453</v>
      </c>
      <c r="P20" s="5">
        <v>9921</v>
      </c>
      <c r="Q20" s="4">
        <f t="shared" si="5"/>
        <v>0.98716417910447762</v>
      </c>
      <c r="R20" s="5">
        <v>6485</v>
      </c>
      <c r="S20" s="5">
        <v>2804</v>
      </c>
      <c r="T20" s="3">
        <f t="shared" si="6"/>
        <v>3506</v>
      </c>
      <c r="U20" s="5">
        <v>6310</v>
      </c>
      <c r="V20" s="4">
        <f t="shared" si="7"/>
        <v>0.97301464919043945</v>
      </c>
      <c r="W20" s="5">
        <v>6573</v>
      </c>
      <c r="X20" s="5">
        <v>3008</v>
      </c>
      <c r="Y20" s="3">
        <f t="shared" si="8"/>
        <v>3266</v>
      </c>
      <c r="Z20" s="5">
        <v>6274</v>
      </c>
      <c r="AA20" s="4">
        <f t="shared" si="9"/>
        <v>0.95451087783356159</v>
      </c>
      <c r="AB20" s="5">
        <v>10123</v>
      </c>
      <c r="AC20" s="5">
        <v>3896</v>
      </c>
      <c r="AD20" s="3">
        <f t="shared" si="10"/>
        <v>5828</v>
      </c>
      <c r="AE20" s="5">
        <v>9724</v>
      </c>
      <c r="AF20" s="4">
        <f t="shared" si="11"/>
        <v>0.96058480687543213</v>
      </c>
      <c r="AG20" s="5">
        <v>6547</v>
      </c>
      <c r="AH20" s="5">
        <v>3018</v>
      </c>
      <c r="AI20" s="3">
        <f t="shared" si="12"/>
        <v>3117</v>
      </c>
      <c r="AJ20" s="5">
        <v>6135</v>
      </c>
      <c r="AK20" s="4">
        <f t="shared" si="13"/>
        <v>0.93707041393004431</v>
      </c>
      <c r="AL20" s="5">
        <v>6649</v>
      </c>
      <c r="AM20" s="5">
        <v>3091</v>
      </c>
      <c r="AN20" s="3">
        <f t="shared" si="14"/>
        <v>2974</v>
      </c>
      <c r="AO20" s="5">
        <v>6065</v>
      </c>
      <c r="AP20" s="4">
        <f t="shared" si="15"/>
        <v>0.91216724319446529</v>
      </c>
      <c r="AQ20" s="5">
        <v>10228</v>
      </c>
      <c r="AR20" s="5">
        <v>3996</v>
      </c>
      <c r="AS20" s="3">
        <f t="shared" si="16"/>
        <v>4712</v>
      </c>
      <c r="AT20" s="5">
        <v>8708</v>
      </c>
      <c r="AU20" s="4">
        <f t="shared" si="17"/>
        <v>0.85138834571763788</v>
      </c>
    </row>
    <row r="21" spans="1:47" x14ac:dyDescent="0.3">
      <c r="A21" s="11">
        <v>12</v>
      </c>
      <c r="B21" s="2" t="s">
        <v>17</v>
      </c>
      <c r="C21" s="5">
        <v>12010</v>
      </c>
      <c r="D21" s="5">
        <v>2970</v>
      </c>
      <c r="E21" s="3">
        <f t="shared" si="0"/>
        <v>8913</v>
      </c>
      <c r="F21" s="5">
        <v>11883</v>
      </c>
      <c r="G21" s="4">
        <f t="shared" si="1"/>
        <v>0.9894254787676936</v>
      </c>
      <c r="H21" s="5">
        <v>12254</v>
      </c>
      <c r="I21" s="5">
        <v>3224</v>
      </c>
      <c r="J21" s="3">
        <f t="shared" si="2"/>
        <v>8840</v>
      </c>
      <c r="K21" s="5">
        <v>12064</v>
      </c>
      <c r="L21" s="4">
        <f t="shared" si="3"/>
        <v>0.98449485882160925</v>
      </c>
      <c r="M21" s="5">
        <v>16207</v>
      </c>
      <c r="N21" s="5">
        <v>4267</v>
      </c>
      <c r="O21" s="3">
        <f t="shared" si="4"/>
        <v>11777</v>
      </c>
      <c r="P21" s="5">
        <v>16044</v>
      </c>
      <c r="Q21" s="4">
        <f t="shared" si="5"/>
        <v>0.98994261738754863</v>
      </c>
      <c r="R21" s="5">
        <v>12383</v>
      </c>
      <c r="S21" s="5">
        <v>3419</v>
      </c>
      <c r="T21" s="3">
        <f t="shared" si="6"/>
        <v>8797</v>
      </c>
      <c r="U21" s="5">
        <v>12216</v>
      </c>
      <c r="V21" s="4">
        <f t="shared" si="7"/>
        <v>0.98651376887668574</v>
      </c>
      <c r="W21" s="5">
        <v>12782</v>
      </c>
      <c r="X21" s="5">
        <v>3601</v>
      </c>
      <c r="Y21" s="3">
        <f t="shared" si="8"/>
        <v>8689</v>
      </c>
      <c r="Z21" s="5">
        <v>12290</v>
      </c>
      <c r="AA21" s="4">
        <f t="shared" si="9"/>
        <v>0.96150837114692533</v>
      </c>
      <c r="AB21" s="5">
        <v>16816</v>
      </c>
      <c r="AC21" s="5">
        <v>4209</v>
      </c>
      <c r="AD21" s="3">
        <f t="shared" si="10"/>
        <v>11725</v>
      </c>
      <c r="AE21" s="5">
        <v>15934</v>
      </c>
      <c r="AF21" s="4">
        <f t="shared" si="11"/>
        <v>0.94754995242626072</v>
      </c>
      <c r="AG21" s="5">
        <v>12696</v>
      </c>
      <c r="AH21" s="5">
        <v>3442</v>
      </c>
      <c r="AI21" s="3">
        <f t="shared" si="12"/>
        <v>8406</v>
      </c>
      <c r="AJ21" s="5">
        <v>11848</v>
      </c>
      <c r="AK21" s="4">
        <f t="shared" si="13"/>
        <v>0.93320730938878382</v>
      </c>
      <c r="AL21" s="5">
        <v>13072</v>
      </c>
      <c r="AM21" s="5">
        <v>3651</v>
      </c>
      <c r="AN21" s="3">
        <f t="shared" si="14"/>
        <v>8069</v>
      </c>
      <c r="AO21" s="5">
        <v>11720</v>
      </c>
      <c r="AP21" s="4">
        <f t="shared" si="15"/>
        <v>0.89657282741738065</v>
      </c>
      <c r="AQ21" s="5">
        <v>17310</v>
      </c>
      <c r="AR21" s="5">
        <v>4479</v>
      </c>
      <c r="AS21" s="3">
        <f t="shared" si="16"/>
        <v>10024</v>
      </c>
      <c r="AT21" s="5">
        <v>14503</v>
      </c>
      <c r="AU21" s="4">
        <f t="shared" si="17"/>
        <v>0.83783939919121897</v>
      </c>
    </row>
    <row r="22" spans="1:47" x14ac:dyDescent="0.3">
      <c r="A22" s="11">
        <v>13</v>
      </c>
      <c r="B22" s="2" t="s">
        <v>18</v>
      </c>
      <c r="C22" s="5">
        <v>6996</v>
      </c>
      <c r="D22" s="5">
        <v>2113</v>
      </c>
      <c r="E22" s="3">
        <f t="shared" si="0"/>
        <v>4794</v>
      </c>
      <c r="F22" s="5">
        <v>6907</v>
      </c>
      <c r="G22" s="4">
        <f t="shared" si="1"/>
        <v>0.98727844482561466</v>
      </c>
      <c r="H22" s="5">
        <v>7077</v>
      </c>
      <c r="I22" s="5">
        <v>2220</v>
      </c>
      <c r="J22" s="3">
        <f t="shared" si="2"/>
        <v>4727</v>
      </c>
      <c r="K22" s="5">
        <v>6947</v>
      </c>
      <c r="L22" s="4">
        <f t="shared" si="3"/>
        <v>0.98163063444962551</v>
      </c>
      <c r="M22" s="5">
        <v>8504</v>
      </c>
      <c r="N22" s="5">
        <v>2776</v>
      </c>
      <c r="O22" s="3">
        <f t="shared" si="4"/>
        <v>5614</v>
      </c>
      <c r="P22" s="5">
        <v>8390</v>
      </c>
      <c r="Q22" s="4">
        <f t="shared" si="5"/>
        <v>0.98659454374412037</v>
      </c>
      <c r="R22" s="5">
        <v>7111</v>
      </c>
      <c r="S22" s="5">
        <v>2440</v>
      </c>
      <c r="T22" s="3">
        <f t="shared" si="6"/>
        <v>4486</v>
      </c>
      <c r="U22" s="5">
        <v>6926</v>
      </c>
      <c r="V22" s="4">
        <f t="shared" si="7"/>
        <v>0.97398396849950786</v>
      </c>
      <c r="W22" s="5">
        <v>7191</v>
      </c>
      <c r="X22" s="5">
        <v>2509</v>
      </c>
      <c r="Y22" s="3">
        <f t="shared" si="8"/>
        <v>4424</v>
      </c>
      <c r="Z22" s="5">
        <v>6933</v>
      </c>
      <c r="AA22" s="4">
        <f t="shared" si="9"/>
        <v>0.9641218189403421</v>
      </c>
      <c r="AB22" s="5">
        <v>8707</v>
      </c>
      <c r="AC22" s="5">
        <v>2776</v>
      </c>
      <c r="AD22" s="3">
        <f t="shared" si="10"/>
        <v>5533</v>
      </c>
      <c r="AE22" s="5">
        <v>8309</v>
      </c>
      <c r="AF22" s="4">
        <f t="shared" si="11"/>
        <v>0.95428965200413463</v>
      </c>
      <c r="AG22" s="5">
        <v>7162</v>
      </c>
      <c r="AH22" s="5">
        <v>2453</v>
      </c>
      <c r="AI22" s="3">
        <f t="shared" si="12"/>
        <v>4308</v>
      </c>
      <c r="AJ22" s="5">
        <v>6761</v>
      </c>
      <c r="AK22" s="4">
        <f t="shared" si="13"/>
        <v>0.94401005305780505</v>
      </c>
      <c r="AL22" s="5">
        <v>7226</v>
      </c>
      <c r="AM22" s="5">
        <v>2514</v>
      </c>
      <c r="AN22" s="3">
        <f t="shared" si="14"/>
        <v>4118</v>
      </c>
      <c r="AO22" s="5">
        <v>6632</v>
      </c>
      <c r="AP22" s="4">
        <f t="shared" si="15"/>
        <v>0.91779684472737333</v>
      </c>
      <c r="AQ22" s="5">
        <v>8754</v>
      </c>
      <c r="AR22" s="5">
        <v>2612</v>
      </c>
      <c r="AS22" s="3">
        <f t="shared" si="16"/>
        <v>4903</v>
      </c>
      <c r="AT22" s="5">
        <v>7515</v>
      </c>
      <c r="AU22" s="4">
        <f t="shared" si="17"/>
        <v>0.85846470185058255</v>
      </c>
    </row>
    <row r="23" spans="1:47" x14ac:dyDescent="0.3">
      <c r="A23" s="11">
        <v>14</v>
      </c>
      <c r="B23" s="2" t="s">
        <v>19</v>
      </c>
      <c r="C23" s="5">
        <v>9407</v>
      </c>
      <c r="D23" s="5">
        <v>2528</v>
      </c>
      <c r="E23" s="3">
        <f t="shared" si="0"/>
        <v>6599</v>
      </c>
      <c r="F23" s="5">
        <v>9127</v>
      </c>
      <c r="G23" s="4">
        <f t="shared" si="1"/>
        <v>0.97023493143403849</v>
      </c>
      <c r="H23" s="5">
        <v>9786</v>
      </c>
      <c r="I23" s="5">
        <v>1997</v>
      </c>
      <c r="J23" s="3">
        <f t="shared" si="2"/>
        <v>7249</v>
      </c>
      <c r="K23" s="5">
        <v>9246</v>
      </c>
      <c r="L23" s="4">
        <f t="shared" si="3"/>
        <v>0.94481912936848556</v>
      </c>
      <c r="M23" s="5">
        <v>12056</v>
      </c>
      <c r="N23" s="5">
        <v>3285</v>
      </c>
      <c r="O23" s="3">
        <f t="shared" si="4"/>
        <v>8434</v>
      </c>
      <c r="P23" s="5">
        <v>11719</v>
      </c>
      <c r="Q23" s="4">
        <f t="shared" si="5"/>
        <v>0.97204711347047112</v>
      </c>
      <c r="R23" s="5">
        <v>9480</v>
      </c>
      <c r="S23" s="5">
        <v>2774</v>
      </c>
      <c r="T23" s="3">
        <f t="shared" si="6"/>
        <v>6448</v>
      </c>
      <c r="U23" s="5">
        <v>9222</v>
      </c>
      <c r="V23" s="4">
        <f t="shared" si="7"/>
        <v>0.97278481012658224</v>
      </c>
      <c r="W23" s="5">
        <v>9764</v>
      </c>
      <c r="X23" s="5">
        <v>2828</v>
      </c>
      <c r="Y23" s="3">
        <f t="shared" si="8"/>
        <v>6385</v>
      </c>
      <c r="Z23" s="5">
        <v>9213</v>
      </c>
      <c r="AA23" s="4">
        <f t="shared" si="9"/>
        <v>0.94356820975010247</v>
      </c>
      <c r="AB23" s="5">
        <v>12327</v>
      </c>
      <c r="AC23" s="5">
        <v>3218</v>
      </c>
      <c r="AD23" s="3">
        <f t="shared" si="10"/>
        <v>8379</v>
      </c>
      <c r="AE23" s="5">
        <v>11597</v>
      </c>
      <c r="AF23" s="4">
        <f t="shared" si="11"/>
        <v>0.94078040074632918</v>
      </c>
      <c r="AG23" s="5">
        <v>9618</v>
      </c>
      <c r="AH23" s="5">
        <v>2729</v>
      </c>
      <c r="AI23" s="3">
        <f t="shared" si="12"/>
        <v>6119</v>
      </c>
      <c r="AJ23" s="5">
        <v>8848</v>
      </c>
      <c r="AK23" s="4">
        <f t="shared" si="13"/>
        <v>0.91994177583697234</v>
      </c>
      <c r="AL23" s="5">
        <v>9741</v>
      </c>
      <c r="AM23" s="5">
        <v>2642</v>
      </c>
      <c r="AN23" s="3">
        <f t="shared" si="14"/>
        <v>6070</v>
      </c>
      <c r="AO23" s="5">
        <v>8712</v>
      </c>
      <c r="AP23" s="4">
        <f t="shared" si="15"/>
        <v>0.89436402833384665</v>
      </c>
      <c r="AQ23" s="5">
        <v>12556</v>
      </c>
      <c r="AR23" s="5">
        <v>3327</v>
      </c>
      <c r="AS23" s="3">
        <f t="shared" si="16"/>
        <v>7097</v>
      </c>
      <c r="AT23" s="5">
        <v>10424</v>
      </c>
      <c r="AU23" s="4">
        <f t="shared" si="17"/>
        <v>0.83020070086014652</v>
      </c>
    </row>
    <row r="24" spans="1:47" x14ac:dyDescent="0.3">
      <c r="A24" s="11">
        <v>15</v>
      </c>
      <c r="B24" s="2" t="s">
        <v>20</v>
      </c>
      <c r="C24" s="5">
        <v>6942</v>
      </c>
      <c r="D24" s="5">
        <v>1353</v>
      </c>
      <c r="E24" s="3">
        <f t="shared" si="0"/>
        <v>5503</v>
      </c>
      <c r="F24" s="5">
        <v>6856</v>
      </c>
      <c r="G24" s="4">
        <f t="shared" si="1"/>
        <v>0.98761163929703255</v>
      </c>
      <c r="H24" s="5">
        <v>7059</v>
      </c>
      <c r="I24" s="5">
        <v>1410</v>
      </c>
      <c r="J24" s="3">
        <f t="shared" si="2"/>
        <v>5491</v>
      </c>
      <c r="K24" s="5">
        <v>6901</v>
      </c>
      <c r="L24" s="4">
        <f t="shared" si="3"/>
        <v>0.97761722623601077</v>
      </c>
      <c r="M24" s="5">
        <v>8056</v>
      </c>
      <c r="N24" s="5">
        <v>2415</v>
      </c>
      <c r="O24" s="3">
        <f t="shared" si="4"/>
        <v>5453</v>
      </c>
      <c r="P24" s="5">
        <v>7868</v>
      </c>
      <c r="Q24" s="4">
        <f t="shared" si="5"/>
        <v>0.97666335650446867</v>
      </c>
      <c r="R24" s="5">
        <v>7134</v>
      </c>
      <c r="S24" s="5">
        <v>2056</v>
      </c>
      <c r="T24" s="3">
        <f t="shared" si="6"/>
        <v>4873</v>
      </c>
      <c r="U24" s="5">
        <v>6929</v>
      </c>
      <c r="V24" s="4">
        <f t="shared" si="7"/>
        <v>0.97126436781609193</v>
      </c>
      <c r="W24" s="5">
        <v>7208</v>
      </c>
      <c r="X24" s="5">
        <v>2202</v>
      </c>
      <c r="Y24" s="3">
        <f t="shared" si="8"/>
        <v>4737</v>
      </c>
      <c r="Z24" s="5">
        <v>6939</v>
      </c>
      <c r="AA24" s="4">
        <f t="shared" si="9"/>
        <v>0.96268035516093231</v>
      </c>
      <c r="AB24" s="5">
        <v>8228</v>
      </c>
      <c r="AC24" s="5">
        <v>2307</v>
      </c>
      <c r="AD24" s="3">
        <f t="shared" si="10"/>
        <v>5572</v>
      </c>
      <c r="AE24" s="5">
        <v>7879</v>
      </c>
      <c r="AF24" s="4">
        <f t="shared" si="11"/>
        <v>0.95758385999027706</v>
      </c>
      <c r="AG24" s="5">
        <v>7344</v>
      </c>
      <c r="AH24" s="5">
        <v>2205</v>
      </c>
      <c r="AI24" s="3">
        <f t="shared" si="12"/>
        <v>4734</v>
      </c>
      <c r="AJ24" s="5">
        <v>6939</v>
      </c>
      <c r="AK24" s="4">
        <f t="shared" si="13"/>
        <v>0.94485294117647056</v>
      </c>
      <c r="AL24" s="5">
        <v>7506</v>
      </c>
      <c r="AM24" s="5">
        <v>2356</v>
      </c>
      <c r="AN24" s="3">
        <f t="shared" si="14"/>
        <v>4562</v>
      </c>
      <c r="AO24" s="5">
        <v>6918</v>
      </c>
      <c r="AP24" s="4">
        <f t="shared" si="15"/>
        <v>0.92166266986410872</v>
      </c>
      <c r="AQ24" s="5">
        <v>8509</v>
      </c>
      <c r="AR24" s="5">
        <v>2326</v>
      </c>
      <c r="AS24" s="3">
        <f t="shared" si="16"/>
        <v>5227</v>
      </c>
      <c r="AT24" s="5">
        <v>7553</v>
      </c>
      <c r="AU24" s="4">
        <f t="shared" si="17"/>
        <v>0.88764837231167004</v>
      </c>
    </row>
    <row r="25" spans="1:47" x14ac:dyDescent="0.3">
      <c r="A25" s="11">
        <v>16</v>
      </c>
      <c r="B25" s="2" t="s">
        <v>21</v>
      </c>
      <c r="C25" s="5">
        <v>21473</v>
      </c>
      <c r="D25" s="5">
        <v>8518</v>
      </c>
      <c r="E25" s="3">
        <f t="shared" si="0"/>
        <v>12724</v>
      </c>
      <c r="F25" s="5">
        <v>21242</v>
      </c>
      <c r="G25" s="4">
        <f t="shared" si="1"/>
        <v>0.9892423042891072</v>
      </c>
      <c r="H25" s="5">
        <v>21813</v>
      </c>
      <c r="I25" s="5">
        <v>8744</v>
      </c>
      <c r="J25" s="3">
        <f t="shared" si="2"/>
        <v>12678</v>
      </c>
      <c r="K25" s="5">
        <v>21422</v>
      </c>
      <c r="L25" s="4">
        <f t="shared" si="3"/>
        <v>0.98207490945766285</v>
      </c>
      <c r="M25" s="5">
        <v>29215</v>
      </c>
      <c r="N25" s="5">
        <v>11448</v>
      </c>
      <c r="O25" s="3">
        <f t="shared" si="4"/>
        <v>17403</v>
      </c>
      <c r="P25" s="5">
        <v>28851</v>
      </c>
      <c r="Q25" s="4">
        <f t="shared" si="5"/>
        <v>0.98754064692794796</v>
      </c>
      <c r="R25" s="5">
        <v>21767</v>
      </c>
      <c r="S25" s="5">
        <v>9214</v>
      </c>
      <c r="T25" s="3">
        <f t="shared" si="6"/>
        <v>12217</v>
      </c>
      <c r="U25" s="5">
        <v>21431</v>
      </c>
      <c r="V25" s="4">
        <f t="shared" si="7"/>
        <v>0.9845637892222171</v>
      </c>
      <c r="W25" s="5">
        <v>22114</v>
      </c>
      <c r="X25" s="5">
        <v>9544</v>
      </c>
      <c r="Y25" s="3">
        <f t="shared" si="8"/>
        <v>11960</v>
      </c>
      <c r="Z25" s="5">
        <v>21504</v>
      </c>
      <c r="AA25" s="4">
        <f t="shared" si="9"/>
        <v>0.97241566428506832</v>
      </c>
      <c r="AB25" s="5">
        <v>29630</v>
      </c>
      <c r="AC25" s="5">
        <v>10983</v>
      </c>
      <c r="AD25" s="3">
        <f t="shared" si="10"/>
        <v>17888</v>
      </c>
      <c r="AE25" s="5">
        <v>28871</v>
      </c>
      <c r="AF25" s="4">
        <f t="shared" si="11"/>
        <v>0.97438407019912254</v>
      </c>
      <c r="AG25" s="5">
        <v>22174</v>
      </c>
      <c r="AH25" s="5">
        <v>9112</v>
      </c>
      <c r="AI25" s="3">
        <f t="shared" si="12"/>
        <v>12299</v>
      </c>
      <c r="AJ25" s="5">
        <v>21411</v>
      </c>
      <c r="AK25" s="4">
        <f t="shared" si="13"/>
        <v>0.96559033101830971</v>
      </c>
      <c r="AL25" s="5">
        <v>22503</v>
      </c>
      <c r="AM25" s="5">
        <v>9468</v>
      </c>
      <c r="AN25" s="3">
        <f t="shared" si="14"/>
        <v>12050</v>
      </c>
      <c r="AO25" s="5">
        <v>21518</v>
      </c>
      <c r="AP25" s="4">
        <f t="shared" si="15"/>
        <v>0.95622805848109138</v>
      </c>
      <c r="AQ25" s="5">
        <v>30294</v>
      </c>
      <c r="AR25" s="5">
        <v>11666</v>
      </c>
      <c r="AS25" s="3">
        <f t="shared" si="16"/>
        <v>16143</v>
      </c>
      <c r="AT25" s="5">
        <v>27809</v>
      </c>
      <c r="AU25" s="4">
        <f t="shared" si="17"/>
        <v>0.91797055522545723</v>
      </c>
    </row>
    <row r="26" spans="1:47" x14ac:dyDescent="0.3">
      <c r="A26" s="11">
        <v>17</v>
      </c>
      <c r="B26" s="2" t="s">
        <v>22</v>
      </c>
      <c r="C26" s="5">
        <v>14552</v>
      </c>
      <c r="D26" s="5">
        <v>4187</v>
      </c>
      <c r="E26" s="3">
        <f t="shared" si="0"/>
        <v>10143</v>
      </c>
      <c r="F26" s="5">
        <v>14330</v>
      </c>
      <c r="G26" s="4">
        <f t="shared" si="1"/>
        <v>0.98474436503573393</v>
      </c>
      <c r="H26" s="5">
        <v>14990</v>
      </c>
      <c r="I26" s="5">
        <v>4624</v>
      </c>
      <c r="J26" s="3">
        <f t="shared" si="2"/>
        <v>10013</v>
      </c>
      <c r="K26" s="5">
        <v>14637</v>
      </c>
      <c r="L26" s="4">
        <f t="shared" si="3"/>
        <v>0.97645096731154102</v>
      </c>
      <c r="M26" s="5">
        <v>28508</v>
      </c>
      <c r="N26" s="5">
        <v>8294</v>
      </c>
      <c r="O26" s="3">
        <f t="shared" si="4"/>
        <v>19870</v>
      </c>
      <c r="P26" s="5">
        <v>28164</v>
      </c>
      <c r="Q26" s="4">
        <f t="shared" si="5"/>
        <v>0.98793321173004067</v>
      </c>
      <c r="R26" s="5">
        <v>14719</v>
      </c>
      <c r="S26" s="5">
        <v>4755</v>
      </c>
      <c r="T26" s="3">
        <f t="shared" si="6"/>
        <v>9615</v>
      </c>
      <c r="U26" s="5">
        <v>14370</v>
      </c>
      <c r="V26" s="4">
        <f t="shared" si="7"/>
        <v>0.97628915007813033</v>
      </c>
      <c r="W26" s="5">
        <v>15123</v>
      </c>
      <c r="X26" s="5">
        <v>4968</v>
      </c>
      <c r="Y26" s="3">
        <f t="shared" si="8"/>
        <v>9537</v>
      </c>
      <c r="Z26" s="5">
        <v>14505</v>
      </c>
      <c r="AA26" s="4">
        <f t="shared" si="9"/>
        <v>0.95913509224360249</v>
      </c>
      <c r="AB26" s="5">
        <v>29054</v>
      </c>
      <c r="AC26" s="5">
        <v>8043</v>
      </c>
      <c r="AD26" s="3">
        <f t="shared" si="10"/>
        <v>19969</v>
      </c>
      <c r="AE26" s="5">
        <v>28012</v>
      </c>
      <c r="AF26" s="4">
        <f t="shared" si="11"/>
        <v>0.96413574722929718</v>
      </c>
      <c r="AG26" s="5">
        <v>14835</v>
      </c>
      <c r="AH26" s="5">
        <v>4961</v>
      </c>
      <c r="AI26" s="3">
        <f t="shared" si="12"/>
        <v>9096</v>
      </c>
      <c r="AJ26" s="5">
        <v>14057</v>
      </c>
      <c r="AK26" s="4">
        <f t="shared" si="13"/>
        <v>0.94755645433097402</v>
      </c>
      <c r="AL26" s="5">
        <v>15316</v>
      </c>
      <c r="AM26" s="5">
        <v>5476</v>
      </c>
      <c r="AN26" s="3">
        <f t="shared" si="14"/>
        <v>8572</v>
      </c>
      <c r="AO26" s="5">
        <v>14048</v>
      </c>
      <c r="AP26" s="4">
        <f t="shared" si="15"/>
        <v>0.91721075998955337</v>
      </c>
      <c r="AQ26" s="5">
        <v>29312</v>
      </c>
      <c r="AR26" s="5">
        <v>8056</v>
      </c>
      <c r="AS26" s="3">
        <f t="shared" si="16"/>
        <v>18204</v>
      </c>
      <c r="AT26" s="5">
        <v>26260</v>
      </c>
      <c r="AU26" s="4">
        <f t="shared" si="17"/>
        <v>0.89587882096069871</v>
      </c>
    </row>
    <row r="27" spans="1:47" x14ac:dyDescent="0.3">
      <c r="A27" s="11">
        <v>18</v>
      </c>
      <c r="B27" s="2" t="s">
        <v>23</v>
      </c>
      <c r="C27" s="5">
        <v>131128</v>
      </c>
      <c r="D27" s="5">
        <v>49357</v>
      </c>
      <c r="E27" s="3">
        <f t="shared" si="0"/>
        <v>79411</v>
      </c>
      <c r="F27" s="5">
        <v>128768</v>
      </c>
      <c r="G27" s="4">
        <f t="shared" si="1"/>
        <v>0.9820023183454335</v>
      </c>
      <c r="H27" s="5">
        <v>134384</v>
      </c>
      <c r="I27" s="5">
        <v>50947</v>
      </c>
      <c r="J27" s="3">
        <f t="shared" si="2"/>
        <v>78475</v>
      </c>
      <c r="K27" s="5">
        <v>129422</v>
      </c>
      <c r="L27" s="4">
        <f t="shared" si="3"/>
        <v>0.963075961423979</v>
      </c>
      <c r="M27" s="5">
        <v>190911</v>
      </c>
      <c r="N27" s="5">
        <v>69421</v>
      </c>
      <c r="O27" s="3">
        <f t="shared" si="4"/>
        <v>119694</v>
      </c>
      <c r="P27" s="5">
        <v>189115</v>
      </c>
      <c r="Q27" s="4">
        <f t="shared" si="5"/>
        <v>0.9905924750276307</v>
      </c>
      <c r="R27" s="5">
        <v>131264</v>
      </c>
      <c r="S27" s="5">
        <v>53953</v>
      </c>
      <c r="T27" s="3">
        <f t="shared" si="6"/>
        <v>74590</v>
      </c>
      <c r="U27" s="5">
        <v>128543</v>
      </c>
      <c r="V27" s="4">
        <f t="shared" si="7"/>
        <v>0.97927078254509992</v>
      </c>
      <c r="W27" s="5">
        <v>134144</v>
      </c>
      <c r="X27" s="5">
        <v>55470</v>
      </c>
      <c r="Y27" s="3">
        <f t="shared" si="8"/>
        <v>73697</v>
      </c>
      <c r="Z27" s="5">
        <v>129167</v>
      </c>
      <c r="AA27" s="4">
        <f t="shared" si="9"/>
        <v>0.9628980796755725</v>
      </c>
      <c r="AB27" s="5">
        <v>194609</v>
      </c>
      <c r="AC27" s="5">
        <v>67964</v>
      </c>
      <c r="AD27" s="3">
        <f t="shared" si="10"/>
        <v>119432</v>
      </c>
      <c r="AE27" s="5">
        <v>187396</v>
      </c>
      <c r="AF27" s="4">
        <f t="shared" si="11"/>
        <v>0.96293593821457379</v>
      </c>
      <c r="AG27" s="5">
        <v>134089</v>
      </c>
      <c r="AH27" s="5">
        <v>53015</v>
      </c>
      <c r="AI27" s="3">
        <f t="shared" si="12"/>
        <v>73991</v>
      </c>
      <c r="AJ27" s="5">
        <v>127006</v>
      </c>
      <c r="AK27" s="4">
        <f t="shared" si="13"/>
        <v>0.94717687506059411</v>
      </c>
      <c r="AL27" s="5">
        <v>137688</v>
      </c>
      <c r="AM27" s="5">
        <v>56389</v>
      </c>
      <c r="AN27" s="3">
        <f t="shared" si="14"/>
        <v>72153</v>
      </c>
      <c r="AO27" s="5">
        <v>128542</v>
      </c>
      <c r="AP27" s="4">
        <f t="shared" si="15"/>
        <v>0.93357445819534024</v>
      </c>
      <c r="AQ27" s="5">
        <v>200322</v>
      </c>
      <c r="AR27" s="5">
        <v>71913</v>
      </c>
      <c r="AS27" s="3">
        <f t="shared" si="16"/>
        <v>105018</v>
      </c>
      <c r="AT27" s="5">
        <v>176931</v>
      </c>
      <c r="AU27" s="4">
        <f t="shared" si="17"/>
        <v>0.88323299487824602</v>
      </c>
    </row>
    <row r="28" spans="1:47" x14ac:dyDescent="0.3">
      <c r="A28" s="11">
        <v>19</v>
      </c>
      <c r="B28" s="2" t="s">
        <v>24</v>
      </c>
      <c r="C28" s="5">
        <v>437513</v>
      </c>
      <c r="D28" s="5">
        <v>245365</v>
      </c>
      <c r="E28" s="3">
        <f t="shared" si="0"/>
        <v>188464</v>
      </c>
      <c r="F28" s="5">
        <v>433829</v>
      </c>
      <c r="G28" s="4">
        <f t="shared" si="1"/>
        <v>0.99157967877525921</v>
      </c>
      <c r="H28" s="5">
        <v>447363</v>
      </c>
      <c r="I28" s="5">
        <v>250692</v>
      </c>
      <c r="J28" s="3">
        <f t="shared" si="2"/>
        <v>190512</v>
      </c>
      <c r="K28" s="5">
        <v>441204</v>
      </c>
      <c r="L28" s="4">
        <f t="shared" si="3"/>
        <v>0.98623265670160476</v>
      </c>
      <c r="M28" s="5">
        <v>722935</v>
      </c>
      <c r="N28" s="5">
        <v>384315</v>
      </c>
      <c r="O28" s="3">
        <f t="shared" si="4"/>
        <v>331744</v>
      </c>
      <c r="P28" s="5">
        <v>716059</v>
      </c>
      <c r="Q28" s="4">
        <f t="shared" si="5"/>
        <v>0.99048877146631442</v>
      </c>
      <c r="R28" s="5">
        <v>448339</v>
      </c>
      <c r="S28" s="5">
        <v>259518</v>
      </c>
      <c r="T28" s="3">
        <f t="shared" si="6"/>
        <v>183572</v>
      </c>
      <c r="U28" s="5">
        <v>443090</v>
      </c>
      <c r="V28" s="4">
        <f t="shared" si="7"/>
        <v>0.98829234128639265</v>
      </c>
      <c r="W28" s="5">
        <v>458076</v>
      </c>
      <c r="X28" s="5">
        <v>263229</v>
      </c>
      <c r="Y28" s="3">
        <f t="shared" si="8"/>
        <v>183682</v>
      </c>
      <c r="Z28" s="5">
        <v>446911</v>
      </c>
      <c r="AA28" s="4">
        <f t="shared" si="9"/>
        <v>0.97562631528392674</v>
      </c>
      <c r="AB28" s="5">
        <v>737235</v>
      </c>
      <c r="AC28" s="5">
        <v>376912</v>
      </c>
      <c r="AD28" s="3">
        <f t="shared" si="10"/>
        <v>343853</v>
      </c>
      <c r="AE28" s="5">
        <v>720765</v>
      </c>
      <c r="AF28" s="4">
        <f t="shared" si="11"/>
        <v>0.97765976927302689</v>
      </c>
      <c r="AG28" s="5">
        <v>456666</v>
      </c>
      <c r="AH28" s="5">
        <v>258381</v>
      </c>
      <c r="AI28" s="3">
        <f t="shared" si="12"/>
        <v>184501</v>
      </c>
      <c r="AJ28" s="5">
        <v>442882</v>
      </c>
      <c r="AK28" s="4">
        <f t="shared" si="13"/>
        <v>0.96981601432994791</v>
      </c>
      <c r="AL28" s="5">
        <v>468801</v>
      </c>
      <c r="AM28" s="5">
        <v>270743</v>
      </c>
      <c r="AN28" s="3">
        <f t="shared" si="14"/>
        <v>180787</v>
      </c>
      <c r="AO28" s="5">
        <v>451530</v>
      </c>
      <c r="AP28" s="4">
        <f t="shared" si="15"/>
        <v>0.96315920827813939</v>
      </c>
      <c r="AQ28" s="5">
        <v>756132</v>
      </c>
      <c r="AR28" s="5">
        <v>399013</v>
      </c>
      <c r="AS28" s="3">
        <f t="shared" si="16"/>
        <v>310522</v>
      </c>
      <c r="AT28" s="5">
        <v>709535</v>
      </c>
      <c r="AU28" s="4">
        <f t="shared" si="17"/>
        <v>0.93837451661879145</v>
      </c>
    </row>
    <row r="29" spans="1:47" x14ac:dyDescent="0.3">
      <c r="A29" s="11">
        <v>20</v>
      </c>
      <c r="B29" s="2" t="s">
        <v>25</v>
      </c>
      <c r="C29" s="5">
        <v>143752</v>
      </c>
      <c r="D29" s="5">
        <v>64333</v>
      </c>
      <c r="E29" s="3">
        <f t="shared" si="0"/>
        <v>78017</v>
      </c>
      <c r="F29" s="5">
        <v>142350</v>
      </c>
      <c r="G29" s="4">
        <f t="shared" si="1"/>
        <v>0.99024709221436924</v>
      </c>
      <c r="H29" s="5">
        <v>146310</v>
      </c>
      <c r="I29" s="5">
        <v>66373</v>
      </c>
      <c r="J29" s="3">
        <f t="shared" si="2"/>
        <v>77379</v>
      </c>
      <c r="K29" s="5">
        <v>143752</v>
      </c>
      <c r="L29" s="4">
        <f t="shared" si="3"/>
        <v>0.9825165743968286</v>
      </c>
      <c r="M29" s="5">
        <v>194093</v>
      </c>
      <c r="N29" s="5">
        <v>85427</v>
      </c>
      <c r="O29" s="3">
        <f t="shared" si="4"/>
        <v>105618</v>
      </c>
      <c r="P29" s="5">
        <v>191045</v>
      </c>
      <c r="Q29" s="4">
        <f t="shared" si="5"/>
        <v>0.98429618790991946</v>
      </c>
      <c r="R29" s="5">
        <v>146918</v>
      </c>
      <c r="S29" s="5">
        <v>67744</v>
      </c>
      <c r="T29" s="3">
        <f t="shared" si="6"/>
        <v>76522</v>
      </c>
      <c r="U29" s="5">
        <v>144266</v>
      </c>
      <c r="V29" s="4">
        <f t="shared" si="7"/>
        <v>0.98194911447201838</v>
      </c>
      <c r="W29" s="5">
        <v>149105</v>
      </c>
      <c r="X29" s="5">
        <v>70974</v>
      </c>
      <c r="Y29" s="3">
        <f t="shared" si="8"/>
        <v>74125</v>
      </c>
      <c r="Z29" s="5">
        <v>145099</v>
      </c>
      <c r="AA29" s="4">
        <f t="shared" si="9"/>
        <v>0.97313302706146676</v>
      </c>
      <c r="AB29" s="5">
        <v>197403</v>
      </c>
      <c r="AC29" s="5">
        <v>84866</v>
      </c>
      <c r="AD29" s="3">
        <f t="shared" si="10"/>
        <v>106865</v>
      </c>
      <c r="AE29" s="5">
        <v>191731</v>
      </c>
      <c r="AF29" s="4">
        <f t="shared" si="11"/>
        <v>0.97126690070566302</v>
      </c>
      <c r="AG29" s="5">
        <v>149309</v>
      </c>
      <c r="AH29" s="5">
        <v>68784</v>
      </c>
      <c r="AI29" s="3">
        <f t="shared" si="12"/>
        <v>75342</v>
      </c>
      <c r="AJ29" s="5">
        <v>144126</v>
      </c>
      <c r="AK29" s="4">
        <f t="shared" si="13"/>
        <v>0.9652867543148772</v>
      </c>
      <c r="AL29" s="5">
        <v>152026</v>
      </c>
      <c r="AM29" s="5">
        <v>72479</v>
      </c>
      <c r="AN29" s="3">
        <f t="shared" si="14"/>
        <v>74656</v>
      </c>
      <c r="AO29" s="5">
        <v>147135</v>
      </c>
      <c r="AP29" s="4">
        <f t="shared" si="15"/>
        <v>0.96782787154828775</v>
      </c>
      <c r="AQ29" s="5">
        <v>203571</v>
      </c>
      <c r="AR29" s="5">
        <v>89637</v>
      </c>
      <c r="AS29" s="3">
        <f t="shared" si="16"/>
        <v>100217</v>
      </c>
      <c r="AT29" s="5">
        <v>189854</v>
      </c>
      <c r="AU29" s="4">
        <f t="shared" si="17"/>
        <v>0.93261810375741139</v>
      </c>
    </row>
    <row r="30" spans="1:47" x14ac:dyDescent="0.3">
      <c r="A30" s="11">
        <v>21</v>
      </c>
      <c r="B30" s="2" t="s">
        <v>26</v>
      </c>
      <c r="C30" s="5">
        <v>186272</v>
      </c>
      <c r="D30" s="5">
        <v>76007</v>
      </c>
      <c r="E30" s="3">
        <f t="shared" si="0"/>
        <v>108838</v>
      </c>
      <c r="F30" s="5">
        <v>184845</v>
      </c>
      <c r="G30" s="4">
        <f t="shared" si="1"/>
        <v>0.99233915993815491</v>
      </c>
      <c r="H30" s="5">
        <v>190966</v>
      </c>
      <c r="I30" s="5">
        <v>78719</v>
      </c>
      <c r="J30" s="3">
        <f t="shared" si="2"/>
        <v>108996</v>
      </c>
      <c r="K30" s="5">
        <v>187715</v>
      </c>
      <c r="L30" s="4">
        <f t="shared" si="3"/>
        <v>0.98297602714619359</v>
      </c>
      <c r="M30" s="5">
        <v>320227</v>
      </c>
      <c r="N30" s="5">
        <v>121734</v>
      </c>
      <c r="O30" s="3">
        <f t="shared" si="4"/>
        <v>195253</v>
      </c>
      <c r="P30" s="5">
        <v>316987</v>
      </c>
      <c r="Q30" s="4">
        <f t="shared" si="5"/>
        <v>0.98988217733045625</v>
      </c>
      <c r="R30" s="5">
        <v>189502</v>
      </c>
      <c r="S30" s="5">
        <v>82207</v>
      </c>
      <c r="T30" s="3">
        <f t="shared" si="6"/>
        <v>104669</v>
      </c>
      <c r="U30" s="5">
        <v>186876</v>
      </c>
      <c r="V30" s="4">
        <f t="shared" si="7"/>
        <v>0.98614262646304529</v>
      </c>
      <c r="W30" s="5">
        <v>194334</v>
      </c>
      <c r="X30" s="5">
        <v>85956</v>
      </c>
      <c r="Y30" s="3">
        <f t="shared" si="8"/>
        <v>102662</v>
      </c>
      <c r="Z30" s="5">
        <v>188618</v>
      </c>
      <c r="AA30" s="4">
        <f t="shared" si="9"/>
        <v>0.97058672182942773</v>
      </c>
      <c r="AB30" s="5">
        <v>325942</v>
      </c>
      <c r="AC30" s="5">
        <v>119979</v>
      </c>
      <c r="AD30" s="3">
        <f t="shared" si="10"/>
        <v>197610</v>
      </c>
      <c r="AE30" s="5">
        <v>317589</v>
      </c>
      <c r="AF30" s="4">
        <f t="shared" si="11"/>
        <v>0.97437274116253814</v>
      </c>
      <c r="AG30" s="5">
        <v>192789</v>
      </c>
      <c r="AH30" s="5">
        <v>82034</v>
      </c>
      <c r="AI30" s="3">
        <f t="shared" si="12"/>
        <v>104614</v>
      </c>
      <c r="AJ30" s="5">
        <v>186648</v>
      </c>
      <c r="AK30" s="4">
        <f t="shared" si="13"/>
        <v>0.96814652288252956</v>
      </c>
      <c r="AL30" s="5">
        <v>197994</v>
      </c>
      <c r="AM30" s="5">
        <v>87291</v>
      </c>
      <c r="AN30" s="3">
        <f t="shared" si="14"/>
        <v>101543</v>
      </c>
      <c r="AO30" s="5">
        <v>188834</v>
      </c>
      <c r="AP30" s="4">
        <f t="shared" si="15"/>
        <v>0.95373597179712521</v>
      </c>
      <c r="AQ30" s="5">
        <v>333633</v>
      </c>
      <c r="AR30" s="5">
        <v>126291</v>
      </c>
      <c r="AS30" s="3">
        <f t="shared" si="16"/>
        <v>179977</v>
      </c>
      <c r="AT30" s="5">
        <v>306268</v>
      </c>
      <c r="AU30" s="4">
        <f t="shared" si="17"/>
        <v>0.91797873711533329</v>
      </c>
    </row>
    <row r="31" spans="1:47" x14ac:dyDescent="0.3">
      <c r="A31" s="11">
        <v>22</v>
      </c>
      <c r="B31" s="2" t="s">
        <v>42</v>
      </c>
      <c r="C31" s="5">
        <v>82883</v>
      </c>
      <c r="D31" s="5">
        <v>46229</v>
      </c>
      <c r="E31" s="3">
        <f t="shared" si="0"/>
        <v>36859</v>
      </c>
      <c r="F31" s="5">
        <v>83088</v>
      </c>
      <c r="G31" s="4">
        <f t="shared" si="1"/>
        <v>1.0024733660702436</v>
      </c>
      <c r="H31" s="5">
        <v>85478</v>
      </c>
      <c r="I31" s="5">
        <v>49266</v>
      </c>
      <c r="J31" s="3">
        <f t="shared" si="2"/>
        <v>35269</v>
      </c>
      <c r="K31" s="5">
        <v>84535</v>
      </c>
      <c r="L31" s="4">
        <f t="shared" si="3"/>
        <v>0.98896792157046254</v>
      </c>
      <c r="M31" s="5">
        <v>149930</v>
      </c>
      <c r="N31" s="5">
        <v>75611</v>
      </c>
      <c r="O31" s="3">
        <f t="shared" si="4"/>
        <v>74743</v>
      </c>
      <c r="P31" s="5">
        <v>150354</v>
      </c>
      <c r="Q31" s="4">
        <f t="shared" si="5"/>
        <v>1.0028279863936505</v>
      </c>
      <c r="R31" s="5">
        <v>83981</v>
      </c>
      <c r="S31" s="5">
        <v>49807</v>
      </c>
      <c r="T31" s="3">
        <f t="shared" si="6"/>
        <v>33857</v>
      </c>
      <c r="U31" s="5">
        <v>83664</v>
      </c>
      <c r="V31" s="4">
        <f t="shared" si="7"/>
        <v>0.99622533668329738</v>
      </c>
      <c r="W31" s="5">
        <v>85994</v>
      </c>
      <c r="X31" s="5">
        <v>51575</v>
      </c>
      <c r="Y31" s="3">
        <f t="shared" si="8"/>
        <v>33264</v>
      </c>
      <c r="Z31" s="5">
        <v>84839</v>
      </c>
      <c r="AA31" s="4">
        <f t="shared" si="9"/>
        <v>0.98656883038351517</v>
      </c>
      <c r="AB31" s="5">
        <v>153633</v>
      </c>
      <c r="AC31" s="5">
        <v>75728</v>
      </c>
      <c r="AD31" s="3">
        <f t="shared" si="10"/>
        <v>75644</v>
      </c>
      <c r="AE31" s="5">
        <v>151372</v>
      </c>
      <c r="AF31" s="4">
        <f t="shared" si="11"/>
        <v>0.9852831097485566</v>
      </c>
      <c r="AG31" s="5">
        <v>85109</v>
      </c>
      <c r="AH31" s="5">
        <v>49817</v>
      </c>
      <c r="AI31" s="3">
        <f t="shared" si="12"/>
        <v>34242</v>
      </c>
      <c r="AJ31" s="5">
        <v>84059</v>
      </c>
      <c r="AK31" s="4">
        <f t="shared" si="13"/>
        <v>0.98766287936645947</v>
      </c>
      <c r="AL31" s="5">
        <v>88549</v>
      </c>
      <c r="AM31" s="5">
        <v>53297</v>
      </c>
      <c r="AN31" s="3">
        <f t="shared" si="14"/>
        <v>32303</v>
      </c>
      <c r="AO31" s="5">
        <v>85600</v>
      </c>
      <c r="AP31" s="4">
        <f t="shared" si="15"/>
        <v>0.96669640538007207</v>
      </c>
      <c r="AQ31" s="5">
        <v>156407</v>
      </c>
      <c r="AR31" s="5">
        <v>79209</v>
      </c>
      <c r="AS31" s="3">
        <f t="shared" si="16"/>
        <v>66554</v>
      </c>
      <c r="AT31" s="5">
        <v>145763</v>
      </c>
      <c r="AU31" s="4">
        <f t="shared" si="17"/>
        <v>0.93194677987558106</v>
      </c>
    </row>
    <row r="32" spans="1:47" x14ac:dyDescent="0.3">
      <c r="A32" s="11">
        <v>23</v>
      </c>
      <c r="B32" s="2" t="s">
        <v>27</v>
      </c>
      <c r="C32" s="5">
        <v>232014</v>
      </c>
      <c r="D32" s="5">
        <v>123294</v>
      </c>
      <c r="E32" s="3">
        <f t="shared" si="0"/>
        <v>107169</v>
      </c>
      <c r="F32" s="5">
        <v>230463</v>
      </c>
      <c r="G32" s="4">
        <f t="shared" si="1"/>
        <v>0.99331505857405156</v>
      </c>
      <c r="H32" s="5">
        <v>238678</v>
      </c>
      <c r="I32" s="5">
        <v>127736</v>
      </c>
      <c r="J32" s="3">
        <f t="shared" si="2"/>
        <v>107131</v>
      </c>
      <c r="K32" s="5">
        <v>234867</v>
      </c>
      <c r="L32" s="4">
        <f t="shared" si="3"/>
        <v>0.98403288112017029</v>
      </c>
      <c r="M32" s="5">
        <v>498323</v>
      </c>
      <c r="N32" s="5">
        <v>225365</v>
      </c>
      <c r="O32" s="3">
        <f t="shared" si="4"/>
        <v>268917</v>
      </c>
      <c r="P32" s="5">
        <v>494282</v>
      </c>
      <c r="Q32" s="4">
        <f t="shared" si="5"/>
        <v>0.99189080174906641</v>
      </c>
      <c r="R32" s="5">
        <v>234167</v>
      </c>
      <c r="S32" s="5">
        <v>129939</v>
      </c>
      <c r="T32" s="3">
        <f t="shared" si="6"/>
        <v>102028</v>
      </c>
      <c r="U32" s="5">
        <v>231967</v>
      </c>
      <c r="V32" s="4">
        <f t="shared" si="7"/>
        <v>0.99060499558007742</v>
      </c>
      <c r="W32" s="5">
        <v>242821</v>
      </c>
      <c r="X32" s="5">
        <v>133743</v>
      </c>
      <c r="Y32" s="3">
        <f t="shared" si="8"/>
        <v>102032</v>
      </c>
      <c r="Z32" s="5">
        <v>235775</v>
      </c>
      <c r="AA32" s="4">
        <f t="shared" si="9"/>
        <v>0.97098274037253784</v>
      </c>
      <c r="AB32" s="5">
        <v>507064</v>
      </c>
      <c r="AC32" s="5">
        <v>224221</v>
      </c>
      <c r="AD32" s="3">
        <f t="shared" si="10"/>
        <v>273889</v>
      </c>
      <c r="AE32" s="5">
        <v>498110</v>
      </c>
      <c r="AF32" s="4">
        <f t="shared" si="11"/>
        <v>0.98234147957654261</v>
      </c>
      <c r="AG32" s="5">
        <v>238186</v>
      </c>
      <c r="AH32" s="5">
        <v>130836</v>
      </c>
      <c r="AI32" s="3">
        <f t="shared" si="12"/>
        <v>102026</v>
      </c>
      <c r="AJ32" s="5">
        <v>232862</v>
      </c>
      <c r="AK32" s="4">
        <f t="shared" si="13"/>
        <v>0.9776477206888734</v>
      </c>
      <c r="AL32" s="5">
        <v>247675</v>
      </c>
      <c r="AM32" s="5">
        <v>140115</v>
      </c>
      <c r="AN32" s="3">
        <f t="shared" si="14"/>
        <v>99759</v>
      </c>
      <c r="AO32" s="5">
        <v>239874</v>
      </c>
      <c r="AP32" s="4">
        <f t="shared" si="15"/>
        <v>0.96850307863127083</v>
      </c>
      <c r="AQ32" s="5">
        <v>518099</v>
      </c>
      <c r="AR32" s="5">
        <v>239706</v>
      </c>
      <c r="AS32" s="3">
        <f t="shared" si="16"/>
        <v>246418</v>
      </c>
      <c r="AT32" s="5">
        <v>486124</v>
      </c>
      <c r="AU32" s="4">
        <f t="shared" si="17"/>
        <v>0.93828399591583844</v>
      </c>
    </row>
    <row r="33" spans="1:47" x14ac:dyDescent="0.3">
      <c r="A33" s="11">
        <v>24</v>
      </c>
      <c r="B33" s="2" t="s">
        <v>43</v>
      </c>
      <c r="C33" s="5">
        <v>715793</v>
      </c>
      <c r="D33" s="5">
        <v>604368</v>
      </c>
      <c r="E33" s="3">
        <f t="shared" si="0"/>
        <v>112366</v>
      </c>
      <c r="F33" s="5">
        <v>716734</v>
      </c>
      <c r="G33" s="4">
        <f t="shared" si="1"/>
        <v>1.0013146258764754</v>
      </c>
      <c r="H33" s="5">
        <v>726544</v>
      </c>
      <c r="I33" s="5">
        <v>623119</v>
      </c>
      <c r="J33" s="3">
        <f t="shared" si="2"/>
        <v>105863</v>
      </c>
      <c r="K33" s="5">
        <v>728982</v>
      </c>
      <c r="L33" s="4">
        <f t="shared" si="3"/>
        <v>1.0033556123235481</v>
      </c>
      <c r="M33" s="5">
        <v>1152516</v>
      </c>
      <c r="N33" s="5">
        <v>952328</v>
      </c>
      <c r="O33" s="3">
        <f t="shared" si="4"/>
        <v>202637</v>
      </c>
      <c r="P33" s="5">
        <v>1154965</v>
      </c>
      <c r="Q33" s="4">
        <f t="shared" si="5"/>
        <v>1.0021249162701429</v>
      </c>
      <c r="R33" s="5">
        <v>733468</v>
      </c>
      <c r="S33" s="5">
        <v>631287</v>
      </c>
      <c r="T33" s="3">
        <f t="shared" si="6"/>
        <v>104085</v>
      </c>
      <c r="U33" s="5">
        <v>735372</v>
      </c>
      <c r="V33" s="4">
        <f t="shared" si="7"/>
        <v>1.0025958869371261</v>
      </c>
      <c r="W33" s="5">
        <v>745690</v>
      </c>
      <c r="X33" s="5">
        <v>640957</v>
      </c>
      <c r="Y33" s="3">
        <f t="shared" si="8"/>
        <v>103622</v>
      </c>
      <c r="Z33" s="5">
        <v>744579</v>
      </c>
      <c r="AA33" s="4">
        <f t="shared" si="9"/>
        <v>0.99851010473521173</v>
      </c>
      <c r="AB33" s="5">
        <v>1180887</v>
      </c>
      <c r="AC33" s="5">
        <v>973072</v>
      </c>
      <c r="AD33" s="3">
        <f t="shared" si="10"/>
        <v>204469</v>
      </c>
      <c r="AE33" s="5">
        <v>1177541</v>
      </c>
      <c r="AF33" s="4">
        <f t="shared" si="11"/>
        <v>0.99716653667963151</v>
      </c>
      <c r="AG33" s="5">
        <v>749948</v>
      </c>
      <c r="AH33" s="5">
        <v>639855</v>
      </c>
      <c r="AI33" s="3">
        <f t="shared" si="12"/>
        <v>106510</v>
      </c>
      <c r="AJ33" s="5">
        <v>746365</v>
      </c>
      <c r="AK33" s="4">
        <f t="shared" si="13"/>
        <v>0.99522233541525551</v>
      </c>
      <c r="AL33" s="5">
        <v>765123</v>
      </c>
      <c r="AM33" s="5">
        <v>662863</v>
      </c>
      <c r="AN33" s="3">
        <f t="shared" si="14"/>
        <v>102670</v>
      </c>
      <c r="AO33" s="5">
        <v>765533</v>
      </c>
      <c r="AP33" s="4">
        <f t="shared" si="15"/>
        <v>1.0005358615542861</v>
      </c>
      <c r="AQ33" s="5">
        <v>1217820</v>
      </c>
      <c r="AR33" s="5">
        <v>1009030</v>
      </c>
      <c r="AS33" s="3">
        <f t="shared" si="16"/>
        <v>184343</v>
      </c>
      <c r="AT33" s="5">
        <v>1193373</v>
      </c>
      <c r="AU33" s="4">
        <f t="shared" si="17"/>
        <v>0.97992560476917767</v>
      </c>
    </row>
    <row r="34" spans="1:47" x14ac:dyDescent="0.3">
      <c r="A34" s="11">
        <v>25</v>
      </c>
      <c r="B34" s="2" t="s">
        <v>28</v>
      </c>
      <c r="C34" s="5">
        <v>0</v>
      </c>
      <c r="D34" s="5">
        <v>0</v>
      </c>
      <c r="E34" s="5" t="s">
        <v>41</v>
      </c>
      <c r="F34" s="5">
        <v>0</v>
      </c>
      <c r="G34" s="5" t="s">
        <v>41</v>
      </c>
      <c r="H34" s="5">
        <v>0</v>
      </c>
      <c r="I34" s="5">
        <v>0</v>
      </c>
      <c r="J34" s="5" t="s">
        <v>41</v>
      </c>
      <c r="K34" s="5">
        <v>0</v>
      </c>
      <c r="L34" s="5" t="s">
        <v>41</v>
      </c>
      <c r="M34" s="5">
        <v>0</v>
      </c>
      <c r="N34" s="5">
        <v>0</v>
      </c>
      <c r="O34" s="5" t="s">
        <v>41</v>
      </c>
      <c r="P34" s="5">
        <v>0</v>
      </c>
      <c r="Q34" s="5" t="s">
        <v>41</v>
      </c>
      <c r="R34" s="5">
        <v>0</v>
      </c>
      <c r="S34" s="5">
        <v>0</v>
      </c>
      <c r="T34" s="5" t="s">
        <v>41</v>
      </c>
      <c r="U34" s="5">
        <v>0</v>
      </c>
      <c r="V34" s="5" t="s">
        <v>41</v>
      </c>
      <c r="W34" s="5">
        <v>0</v>
      </c>
      <c r="X34" s="5">
        <v>0</v>
      </c>
      <c r="Y34" s="5" t="s">
        <v>41</v>
      </c>
      <c r="Z34" s="5">
        <v>0</v>
      </c>
      <c r="AA34" s="5" t="s">
        <v>41</v>
      </c>
      <c r="AB34" s="5">
        <v>0</v>
      </c>
      <c r="AC34" s="5">
        <v>0</v>
      </c>
      <c r="AD34" s="5" t="s">
        <v>41</v>
      </c>
      <c r="AE34" s="5">
        <v>0</v>
      </c>
      <c r="AF34" s="5" t="s">
        <v>41</v>
      </c>
      <c r="AG34" s="5">
        <v>0</v>
      </c>
      <c r="AH34" s="5">
        <v>0</v>
      </c>
      <c r="AI34" s="5" t="s">
        <v>41</v>
      </c>
      <c r="AJ34" s="5">
        <v>0</v>
      </c>
      <c r="AK34" s="5" t="s">
        <v>41</v>
      </c>
      <c r="AL34" s="5">
        <v>0</v>
      </c>
      <c r="AM34" s="5">
        <v>0</v>
      </c>
      <c r="AN34" s="5" t="s">
        <v>41</v>
      </c>
      <c r="AO34" s="5">
        <v>0</v>
      </c>
      <c r="AP34" s="5" t="s">
        <v>41</v>
      </c>
      <c r="AQ34" s="5">
        <v>0</v>
      </c>
      <c r="AR34" s="5">
        <v>0</v>
      </c>
      <c r="AS34" s="5" t="s">
        <v>41</v>
      </c>
      <c r="AT34" s="5">
        <v>0</v>
      </c>
      <c r="AU34" s="5" t="s">
        <v>41</v>
      </c>
    </row>
    <row r="35" spans="1:47" x14ac:dyDescent="0.3">
      <c r="A35" s="11">
        <v>26</v>
      </c>
      <c r="B35" s="2" t="s">
        <v>29</v>
      </c>
      <c r="C35" s="5">
        <v>12258</v>
      </c>
      <c r="D35" s="5">
        <v>9903</v>
      </c>
      <c r="E35" s="3">
        <f t="shared" ref="E35:E47" si="18">F35-D35</f>
        <v>2324</v>
      </c>
      <c r="F35" s="5">
        <v>12227</v>
      </c>
      <c r="G35" s="4">
        <f t="shared" ref="G35:G48" si="19">F35/C35</f>
        <v>0.99747103932125958</v>
      </c>
      <c r="H35" s="5">
        <v>12343</v>
      </c>
      <c r="I35" s="5">
        <v>10077</v>
      </c>
      <c r="J35" s="3">
        <f t="shared" ref="J35:J47" si="20">K35-I35</f>
        <v>2235</v>
      </c>
      <c r="K35" s="5">
        <v>12312</v>
      </c>
      <c r="L35" s="4">
        <f t="shared" ref="L35:L48" si="21">K35/H35</f>
        <v>0.99748845499473382</v>
      </c>
      <c r="M35" s="5">
        <v>15097</v>
      </c>
      <c r="N35" s="5">
        <v>12241</v>
      </c>
      <c r="O35" s="3">
        <f t="shared" ref="O35:O47" si="22">P35-N35</f>
        <v>2806</v>
      </c>
      <c r="P35" s="5">
        <v>15047</v>
      </c>
      <c r="Q35" s="4">
        <f t="shared" ref="Q35:Q48" si="23">P35/M35</f>
        <v>0.99668808372524342</v>
      </c>
      <c r="R35" s="5">
        <v>12455</v>
      </c>
      <c r="S35" s="5">
        <v>10307</v>
      </c>
      <c r="T35" s="3">
        <f t="shared" ref="T35:T47" si="24">U35-S35</f>
        <v>2053</v>
      </c>
      <c r="U35" s="5">
        <v>12360</v>
      </c>
      <c r="V35" s="4">
        <f t="shared" ref="V35:V48" si="25">U35/R35</f>
        <v>0.99237254114813322</v>
      </c>
      <c r="W35" s="5">
        <v>12547</v>
      </c>
      <c r="X35" s="5">
        <v>10490</v>
      </c>
      <c r="Y35" s="3">
        <f t="shared" ref="Y35:Y47" si="26">Z35-X35</f>
        <v>1871</v>
      </c>
      <c r="Z35" s="5">
        <v>12361</v>
      </c>
      <c r="AA35" s="4">
        <f t="shared" ref="AA35:AA48" si="27">Z35/W35</f>
        <v>0.98517573922053081</v>
      </c>
      <c r="AB35" s="5">
        <v>15257</v>
      </c>
      <c r="AC35" s="5">
        <v>12367</v>
      </c>
      <c r="AD35" s="3">
        <f t="shared" ref="AD35:AD47" si="28">AE35-AC35</f>
        <v>2659</v>
      </c>
      <c r="AE35" s="5">
        <v>15026</v>
      </c>
      <c r="AF35" s="4">
        <f t="shared" ref="AF35:AF48" si="29">AE35/AB35</f>
        <v>0.98485940879596245</v>
      </c>
      <c r="AG35" s="5">
        <v>12574</v>
      </c>
      <c r="AH35" s="5">
        <v>10313</v>
      </c>
      <c r="AI35" s="3">
        <f t="shared" ref="AI35:AI47" si="30">AJ35-AH35</f>
        <v>2019</v>
      </c>
      <c r="AJ35" s="5">
        <v>12332</v>
      </c>
      <c r="AK35" s="4">
        <f t="shared" ref="AK35:AK48" si="31">AJ35/AG35</f>
        <v>0.98075393669476696</v>
      </c>
      <c r="AL35" s="5">
        <v>12702</v>
      </c>
      <c r="AM35" s="5">
        <v>10540</v>
      </c>
      <c r="AN35" s="3">
        <f t="shared" ref="AN35:AN47" si="32">AO35-AM35</f>
        <v>1770</v>
      </c>
      <c r="AO35" s="5">
        <v>12310</v>
      </c>
      <c r="AP35" s="4">
        <f t="shared" ref="AP35:AP48" si="33">AO35/AL35</f>
        <v>0.96913871831207687</v>
      </c>
      <c r="AQ35" s="5">
        <v>15458</v>
      </c>
      <c r="AR35" s="5">
        <v>12572</v>
      </c>
      <c r="AS35" s="3">
        <f t="shared" ref="AS35:AS47" si="34">AT35-AR35</f>
        <v>2091</v>
      </c>
      <c r="AT35" s="5">
        <v>14663</v>
      </c>
      <c r="AU35" s="4">
        <f t="shared" ref="AU35:AU48" si="35">AT35/AQ35</f>
        <v>0.94857031957562432</v>
      </c>
    </row>
    <row r="36" spans="1:47" x14ac:dyDescent="0.3">
      <c r="A36" s="11">
        <v>27</v>
      </c>
      <c r="B36" s="2" t="s">
        <v>44</v>
      </c>
      <c r="C36" s="5">
        <v>952810</v>
      </c>
      <c r="D36" s="5">
        <v>675983</v>
      </c>
      <c r="E36" s="3">
        <f t="shared" si="18"/>
        <v>277169</v>
      </c>
      <c r="F36" s="5">
        <v>953152</v>
      </c>
      <c r="G36" s="4">
        <f t="shared" si="19"/>
        <v>1.0003589382982967</v>
      </c>
      <c r="H36" s="5">
        <v>975466</v>
      </c>
      <c r="I36" s="5">
        <v>699378</v>
      </c>
      <c r="J36" s="3">
        <f t="shared" si="20"/>
        <v>269657</v>
      </c>
      <c r="K36" s="5">
        <v>969035</v>
      </c>
      <c r="L36" s="4">
        <f t="shared" si="21"/>
        <v>0.99340725355881188</v>
      </c>
      <c r="M36" s="5">
        <v>1668278</v>
      </c>
      <c r="N36" s="5">
        <v>1135913</v>
      </c>
      <c r="O36" s="3">
        <f t="shared" si="22"/>
        <v>530208</v>
      </c>
      <c r="P36" s="5">
        <v>1666121</v>
      </c>
      <c r="Q36" s="4">
        <f t="shared" si="23"/>
        <v>0.99870705002403681</v>
      </c>
      <c r="R36" s="5">
        <v>976879</v>
      </c>
      <c r="S36" s="5">
        <v>714456</v>
      </c>
      <c r="T36" s="3">
        <f t="shared" si="24"/>
        <v>257471</v>
      </c>
      <c r="U36" s="5">
        <v>971927</v>
      </c>
      <c r="V36" s="4">
        <f t="shared" si="25"/>
        <v>0.9949307949090932</v>
      </c>
      <c r="W36" s="5">
        <v>1000117</v>
      </c>
      <c r="X36" s="5">
        <v>724393</v>
      </c>
      <c r="Y36" s="3">
        <f t="shared" si="26"/>
        <v>257467</v>
      </c>
      <c r="Z36" s="5">
        <v>981860</v>
      </c>
      <c r="AA36" s="4">
        <f t="shared" si="27"/>
        <v>0.98174513581910916</v>
      </c>
      <c r="AB36" s="5">
        <v>1701420</v>
      </c>
      <c r="AC36" s="5">
        <v>1145984</v>
      </c>
      <c r="AD36" s="3">
        <f t="shared" si="28"/>
        <v>532149</v>
      </c>
      <c r="AE36" s="5">
        <v>1678133</v>
      </c>
      <c r="AF36" s="4">
        <f t="shared" si="29"/>
        <v>0.98631319721174082</v>
      </c>
      <c r="AG36" s="5">
        <v>996655</v>
      </c>
      <c r="AH36" s="5">
        <v>722237</v>
      </c>
      <c r="AI36" s="3">
        <f t="shared" si="30"/>
        <v>256124</v>
      </c>
      <c r="AJ36" s="5">
        <v>978361</v>
      </c>
      <c r="AK36" s="4">
        <f t="shared" si="31"/>
        <v>0.98164460119098385</v>
      </c>
      <c r="AL36" s="5">
        <v>1027093</v>
      </c>
      <c r="AM36" s="5">
        <v>758486</v>
      </c>
      <c r="AN36" s="3">
        <f t="shared" si="32"/>
        <v>244153</v>
      </c>
      <c r="AO36" s="5">
        <v>1002639</v>
      </c>
      <c r="AP36" s="4">
        <f t="shared" si="33"/>
        <v>0.97619105572718345</v>
      </c>
      <c r="AQ36" s="5">
        <v>1750886</v>
      </c>
      <c r="AR36" s="5">
        <v>1205471</v>
      </c>
      <c r="AS36" s="3">
        <f t="shared" si="34"/>
        <v>449611</v>
      </c>
      <c r="AT36" s="5">
        <v>1655082</v>
      </c>
      <c r="AU36" s="4">
        <f t="shared" si="35"/>
        <v>0.94528255980115206</v>
      </c>
    </row>
    <row r="37" spans="1:47" x14ac:dyDescent="0.3">
      <c r="A37" s="11">
        <v>29</v>
      </c>
      <c r="B37" s="2" t="s">
        <v>30</v>
      </c>
      <c r="C37" s="5">
        <v>741468</v>
      </c>
      <c r="D37" s="5">
        <v>425480</v>
      </c>
      <c r="E37" s="3">
        <f t="shared" si="18"/>
        <v>307521</v>
      </c>
      <c r="F37" s="5">
        <v>733001</v>
      </c>
      <c r="G37" s="4">
        <f t="shared" si="19"/>
        <v>0.98858076140844919</v>
      </c>
      <c r="H37" s="5">
        <v>747767</v>
      </c>
      <c r="I37" s="5">
        <v>434995</v>
      </c>
      <c r="J37" s="3">
        <f t="shared" si="20"/>
        <v>302655</v>
      </c>
      <c r="K37" s="5">
        <v>737650</v>
      </c>
      <c r="L37" s="4">
        <f t="shared" si="21"/>
        <v>0.98647038449142577</v>
      </c>
      <c r="M37" s="5">
        <v>922163</v>
      </c>
      <c r="N37" s="5">
        <v>540960</v>
      </c>
      <c r="O37" s="3">
        <f t="shared" si="22"/>
        <v>371168</v>
      </c>
      <c r="P37" s="5">
        <v>912128</v>
      </c>
      <c r="Q37" s="4">
        <f t="shared" si="23"/>
        <v>0.98911797588929506</v>
      </c>
      <c r="R37" s="5">
        <v>751356</v>
      </c>
      <c r="S37" s="5">
        <v>452020</v>
      </c>
      <c r="T37" s="3">
        <f t="shared" si="24"/>
        <v>288243</v>
      </c>
      <c r="U37" s="5">
        <v>740263</v>
      </c>
      <c r="V37" s="4">
        <f t="shared" si="25"/>
        <v>0.98523602659724552</v>
      </c>
      <c r="W37" s="5">
        <v>760191</v>
      </c>
      <c r="X37" s="5">
        <v>465684</v>
      </c>
      <c r="Y37" s="3">
        <f t="shared" si="26"/>
        <v>278039</v>
      </c>
      <c r="Z37" s="5">
        <v>743723</v>
      </c>
      <c r="AA37" s="4">
        <f t="shared" si="27"/>
        <v>0.97833702319548643</v>
      </c>
      <c r="AB37" s="5">
        <v>938023</v>
      </c>
      <c r="AC37" s="5">
        <v>537499</v>
      </c>
      <c r="AD37" s="3">
        <f t="shared" si="28"/>
        <v>379034</v>
      </c>
      <c r="AE37" s="5">
        <v>916533</v>
      </c>
      <c r="AF37" s="4">
        <f t="shared" si="29"/>
        <v>0.97709011399507262</v>
      </c>
      <c r="AG37" s="5">
        <v>763648</v>
      </c>
      <c r="AH37" s="5">
        <v>456424</v>
      </c>
      <c r="AI37" s="3">
        <f t="shared" si="30"/>
        <v>284254</v>
      </c>
      <c r="AJ37" s="5">
        <v>740678</v>
      </c>
      <c r="AK37" s="4">
        <f t="shared" si="31"/>
        <v>0.96992069644653034</v>
      </c>
      <c r="AL37" s="5">
        <v>773685</v>
      </c>
      <c r="AM37" s="5">
        <v>479460</v>
      </c>
      <c r="AN37" s="3">
        <f t="shared" si="32"/>
        <v>265661</v>
      </c>
      <c r="AO37" s="5">
        <v>745121</v>
      </c>
      <c r="AP37" s="4">
        <f t="shared" si="33"/>
        <v>0.96308058189056267</v>
      </c>
      <c r="AQ37" s="5">
        <v>957323</v>
      </c>
      <c r="AR37" s="5">
        <v>562263</v>
      </c>
      <c r="AS37" s="3">
        <f t="shared" si="34"/>
        <v>332155</v>
      </c>
      <c r="AT37" s="5">
        <v>894418</v>
      </c>
      <c r="AU37" s="4">
        <f t="shared" si="35"/>
        <v>0.93429072528289825</v>
      </c>
    </row>
    <row r="38" spans="1:47" x14ac:dyDescent="0.3">
      <c r="A38" s="11">
        <v>30</v>
      </c>
      <c r="B38" s="2" t="s">
        <v>31</v>
      </c>
      <c r="C38" s="5">
        <v>26062</v>
      </c>
      <c r="D38" s="5">
        <v>16171</v>
      </c>
      <c r="E38" s="3">
        <f t="shared" si="18"/>
        <v>9907</v>
      </c>
      <c r="F38" s="5">
        <v>26078</v>
      </c>
      <c r="G38" s="4">
        <f t="shared" si="19"/>
        <v>1.0006139206507558</v>
      </c>
      <c r="H38" s="5">
        <v>26657</v>
      </c>
      <c r="I38" s="5">
        <v>16797</v>
      </c>
      <c r="J38" s="3">
        <f t="shared" si="20"/>
        <v>9537</v>
      </c>
      <c r="K38" s="5">
        <v>26334</v>
      </c>
      <c r="L38" s="4">
        <f t="shared" si="21"/>
        <v>0.98788310762651466</v>
      </c>
      <c r="M38" s="5">
        <v>40003</v>
      </c>
      <c r="N38" s="5">
        <v>25476</v>
      </c>
      <c r="O38" s="3">
        <f t="shared" si="22"/>
        <v>14327</v>
      </c>
      <c r="P38" s="5">
        <v>39803</v>
      </c>
      <c r="Q38" s="4">
        <f t="shared" si="23"/>
        <v>0.9950003749718771</v>
      </c>
      <c r="R38" s="5">
        <v>26603</v>
      </c>
      <c r="S38" s="5">
        <v>17468</v>
      </c>
      <c r="T38" s="3">
        <f t="shared" si="24"/>
        <v>8865</v>
      </c>
      <c r="U38" s="5">
        <v>26333</v>
      </c>
      <c r="V38" s="4">
        <f t="shared" si="25"/>
        <v>0.98985076871029587</v>
      </c>
      <c r="W38" s="5">
        <v>27177</v>
      </c>
      <c r="X38" s="5">
        <v>17793</v>
      </c>
      <c r="Y38" s="3">
        <f t="shared" si="26"/>
        <v>8628</v>
      </c>
      <c r="Z38" s="5">
        <v>26421</v>
      </c>
      <c r="AA38" s="4">
        <f t="shared" si="27"/>
        <v>0.97218236008389447</v>
      </c>
      <c r="AB38" s="5">
        <v>40627</v>
      </c>
      <c r="AC38" s="5">
        <v>25513</v>
      </c>
      <c r="AD38" s="3">
        <f t="shared" si="28"/>
        <v>14168</v>
      </c>
      <c r="AE38" s="5">
        <v>39681</v>
      </c>
      <c r="AF38" s="4">
        <f t="shared" si="29"/>
        <v>0.97671499249267724</v>
      </c>
      <c r="AG38" s="5">
        <v>26952</v>
      </c>
      <c r="AH38" s="5">
        <v>17546</v>
      </c>
      <c r="AI38" s="3">
        <f t="shared" si="30"/>
        <v>8460</v>
      </c>
      <c r="AJ38" s="5">
        <v>26006</v>
      </c>
      <c r="AK38" s="4">
        <f t="shared" si="31"/>
        <v>0.96490056396556845</v>
      </c>
      <c r="AL38" s="5">
        <v>27600</v>
      </c>
      <c r="AM38" s="5">
        <v>18488</v>
      </c>
      <c r="AN38" s="3">
        <f t="shared" si="32"/>
        <v>7560</v>
      </c>
      <c r="AO38" s="5">
        <v>26048</v>
      </c>
      <c r="AP38" s="4">
        <f t="shared" si="33"/>
        <v>0.94376811594202903</v>
      </c>
      <c r="AQ38" s="5">
        <v>41434</v>
      </c>
      <c r="AR38" s="5">
        <v>26424</v>
      </c>
      <c r="AS38" s="3">
        <f t="shared" si="34"/>
        <v>11392</v>
      </c>
      <c r="AT38" s="5">
        <v>37816</v>
      </c>
      <c r="AU38" s="4">
        <f t="shared" si="35"/>
        <v>0.91268040739489309</v>
      </c>
    </row>
    <row r="39" spans="1:47" x14ac:dyDescent="0.3">
      <c r="A39" s="11">
        <v>31</v>
      </c>
      <c r="B39" s="2" t="s">
        <v>32</v>
      </c>
      <c r="C39" s="5">
        <v>256</v>
      </c>
      <c r="D39" s="5">
        <v>135</v>
      </c>
      <c r="E39" s="3">
        <f t="shared" si="18"/>
        <v>119</v>
      </c>
      <c r="F39" s="5">
        <v>254</v>
      </c>
      <c r="G39" s="4">
        <f t="shared" si="19"/>
        <v>0.9921875</v>
      </c>
      <c r="H39" s="5">
        <v>262</v>
      </c>
      <c r="I39" s="5">
        <v>129</v>
      </c>
      <c r="J39" s="3">
        <f t="shared" si="20"/>
        <v>125</v>
      </c>
      <c r="K39" s="5">
        <v>254</v>
      </c>
      <c r="L39" s="4">
        <f t="shared" si="21"/>
        <v>0.96946564885496178</v>
      </c>
      <c r="M39" s="5">
        <v>313</v>
      </c>
      <c r="N39" s="5">
        <v>163</v>
      </c>
      <c r="O39" s="3">
        <f t="shared" si="22"/>
        <v>142</v>
      </c>
      <c r="P39" s="5">
        <v>305</v>
      </c>
      <c r="Q39" s="4">
        <f t="shared" si="23"/>
        <v>0.9744408945686901</v>
      </c>
      <c r="R39" s="5">
        <v>264</v>
      </c>
      <c r="S39" s="5">
        <v>139</v>
      </c>
      <c r="T39" s="3">
        <f t="shared" si="24"/>
        <v>108</v>
      </c>
      <c r="U39" s="5">
        <v>247</v>
      </c>
      <c r="V39" s="4">
        <f t="shared" si="25"/>
        <v>0.93560606060606055</v>
      </c>
      <c r="W39" s="5">
        <v>265</v>
      </c>
      <c r="X39" s="5">
        <v>135</v>
      </c>
      <c r="Y39" s="3">
        <f t="shared" si="26"/>
        <v>110</v>
      </c>
      <c r="Z39" s="5">
        <v>245</v>
      </c>
      <c r="AA39" s="4">
        <f t="shared" si="27"/>
        <v>0.92452830188679247</v>
      </c>
      <c r="AB39" s="5">
        <v>322</v>
      </c>
      <c r="AC39" s="5">
        <v>174</v>
      </c>
      <c r="AD39" s="3">
        <f t="shared" si="28"/>
        <v>122</v>
      </c>
      <c r="AE39" s="5">
        <v>296</v>
      </c>
      <c r="AF39" s="4">
        <f t="shared" si="29"/>
        <v>0.91925465838509313</v>
      </c>
      <c r="AG39" s="5">
        <v>267</v>
      </c>
      <c r="AH39" s="5">
        <v>138</v>
      </c>
      <c r="AI39" s="3">
        <f t="shared" si="30"/>
        <v>99</v>
      </c>
      <c r="AJ39" s="5">
        <v>237</v>
      </c>
      <c r="AK39" s="4">
        <f t="shared" si="31"/>
        <v>0.88764044943820219</v>
      </c>
      <c r="AL39" s="5">
        <v>276</v>
      </c>
      <c r="AM39" s="5">
        <v>141</v>
      </c>
      <c r="AN39" s="3">
        <f t="shared" si="32"/>
        <v>101</v>
      </c>
      <c r="AO39" s="5">
        <v>242</v>
      </c>
      <c r="AP39" s="4">
        <f t="shared" si="33"/>
        <v>0.87681159420289856</v>
      </c>
      <c r="AQ39" s="5">
        <v>338</v>
      </c>
      <c r="AR39" s="5">
        <v>162</v>
      </c>
      <c r="AS39" s="3">
        <f t="shared" si="34"/>
        <v>123</v>
      </c>
      <c r="AT39" s="5">
        <v>285</v>
      </c>
      <c r="AU39" s="4">
        <f t="shared" si="35"/>
        <v>0.84319526627218933</v>
      </c>
    </row>
    <row r="40" spans="1:47" x14ac:dyDescent="0.3">
      <c r="A40" s="11">
        <v>32</v>
      </c>
      <c r="B40" s="2" t="s">
        <v>33</v>
      </c>
      <c r="C40" s="5">
        <v>303894</v>
      </c>
      <c r="D40" s="5">
        <v>176660</v>
      </c>
      <c r="E40" s="3">
        <f t="shared" si="18"/>
        <v>124200</v>
      </c>
      <c r="F40" s="5">
        <v>300860</v>
      </c>
      <c r="G40" s="4">
        <f t="shared" si="19"/>
        <v>0.99001625566809481</v>
      </c>
      <c r="H40" s="5">
        <v>306465</v>
      </c>
      <c r="I40" s="5">
        <v>175573</v>
      </c>
      <c r="J40" s="3">
        <f t="shared" si="20"/>
        <v>126378</v>
      </c>
      <c r="K40" s="5">
        <v>301951</v>
      </c>
      <c r="L40" s="4">
        <f t="shared" si="21"/>
        <v>0.98527074869887266</v>
      </c>
      <c r="M40" s="5">
        <v>361770</v>
      </c>
      <c r="N40" s="5">
        <v>209513</v>
      </c>
      <c r="O40" s="3">
        <f t="shared" si="22"/>
        <v>148044</v>
      </c>
      <c r="P40" s="5">
        <v>357557</v>
      </c>
      <c r="Q40" s="4">
        <f t="shared" si="23"/>
        <v>0.9883544793653426</v>
      </c>
      <c r="R40" s="5">
        <v>306479</v>
      </c>
      <c r="S40" s="5">
        <v>186713</v>
      </c>
      <c r="T40" s="3">
        <f t="shared" si="24"/>
        <v>115765</v>
      </c>
      <c r="U40" s="5">
        <v>302478</v>
      </c>
      <c r="V40" s="4">
        <f t="shared" si="25"/>
        <v>0.98694527194359161</v>
      </c>
      <c r="W40" s="5">
        <v>309858</v>
      </c>
      <c r="X40" s="5">
        <v>181989</v>
      </c>
      <c r="Y40" s="3">
        <f t="shared" si="26"/>
        <v>120622</v>
      </c>
      <c r="Z40" s="5">
        <v>302611</v>
      </c>
      <c r="AA40" s="4">
        <f t="shared" si="27"/>
        <v>0.97661186737150563</v>
      </c>
      <c r="AB40" s="5">
        <v>365821</v>
      </c>
      <c r="AC40" s="5">
        <v>212688</v>
      </c>
      <c r="AD40" s="3">
        <f t="shared" si="28"/>
        <v>143486</v>
      </c>
      <c r="AE40" s="5">
        <v>356174</v>
      </c>
      <c r="AF40" s="4">
        <f t="shared" si="29"/>
        <v>0.97362917929807202</v>
      </c>
      <c r="AG40" s="5">
        <v>311342</v>
      </c>
      <c r="AH40" s="5">
        <v>185358</v>
      </c>
      <c r="AI40" s="3">
        <f t="shared" si="30"/>
        <v>114705</v>
      </c>
      <c r="AJ40" s="5">
        <v>300063</v>
      </c>
      <c r="AK40" s="4">
        <f t="shared" si="31"/>
        <v>0.96377295706971755</v>
      </c>
      <c r="AL40" s="5">
        <v>314792</v>
      </c>
      <c r="AM40" s="5">
        <v>187878</v>
      </c>
      <c r="AN40" s="3">
        <f t="shared" si="32"/>
        <v>111609</v>
      </c>
      <c r="AO40" s="5">
        <v>299487</v>
      </c>
      <c r="AP40" s="4">
        <f t="shared" si="33"/>
        <v>0.95138059417011867</v>
      </c>
      <c r="AQ40" s="5">
        <v>372144</v>
      </c>
      <c r="AR40" s="5">
        <v>212701</v>
      </c>
      <c r="AS40" s="3">
        <f t="shared" si="34"/>
        <v>130134</v>
      </c>
      <c r="AT40" s="5">
        <v>342835</v>
      </c>
      <c r="AU40" s="4">
        <f t="shared" si="35"/>
        <v>0.92124285222924462</v>
      </c>
    </row>
    <row r="41" spans="1:47" x14ac:dyDescent="0.3">
      <c r="A41" s="11">
        <v>33</v>
      </c>
      <c r="B41" s="2" t="s">
        <v>34</v>
      </c>
      <c r="C41" s="5">
        <v>977433</v>
      </c>
      <c r="D41" s="5">
        <v>605202</v>
      </c>
      <c r="E41" s="3">
        <f t="shared" si="18"/>
        <v>369597</v>
      </c>
      <c r="F41" s="5">
        <v>974799</v>
      </c>
      <c r="G41" s="4">
        <f t="shared" si="19"/>
        <v>0.99730518613552033</v>
      </c>
      <c r="H41" s="5">
        <v>983280</v>
      </c>
      <c r="I41" s="5">
        <v>600780</v>
      </c>
      <c r="J41" s="3">
        <f t="shared" si="20"/>
        <v>378142</v>
      </c>
      <c r="K41" s="5">
        <v>978922</v>
      </c>
      <c r="L41" s="4">
        <f t="shared" si="21"/>
        <v>0.9955678952078757</v>
      </c>
      <c r="M41" s="5">
        <v>1084276</v>
      </c>
      <c r="N41" s="5">
        <v>692679</v>
      </c>
      <c r="O41" s="3">
        <f t="shared" si="22"/>
        <v>387958</v>
      </c>
      <c r="P41" s="5">
        <v>1080637</v>
      </c>
      <c r="Q41" s="4">
        <f t="shared" si="23"/>
        <v>0.99664384344945378</v>
      </c>
      <c r="R41" s="5">
        <v>988018</v>
      </c>
      <c r="S41" s="5">
        <v>639204</v>
      </c>
      <c r="T41" s="3">
        <f t="shared" si="24"/>
        <v>346099</v>
      </c>
      <c r="U41" s="5">
        <v>985303</v>
      </c>
      <c r="V41" s="4">
        <f t="shared" si="25"/>
        <v>0.99725207435492069</v>
      </c>
      <c r="W41" s="5">
        <v>994033</v>
      </c>
      <c r="X41" s="5">
        <v>649932</v>
      </c>
      <c r="Y41" s="3">
        <f t="shared" si="26"/>
        <v>339047</v>
      </c>
      <c r="Z41" s="5">
        <v>988979</v>
      </c>
      <c r="AA41" s="4">
        <f t="shared" si="27"/>
        <v>0.99491566175368429</v>
      </c>
      <c r="AB41" s="5">
        <v>1097882</v>
      </c>
      <c r="AC41" s="5">
        <v>702797</v>
      </c>
      <c r="AD41" s="3">
        <f t="shared" si="28"/>
        <v>386710</v>
      </c>
      <c r="AE41" s="5">
        <v>1089507</v>
      </c>
      <c r="AF41" s="4">
        <f t="shared" si="29"/>
        <v>0.9923716756445593</v>
      </c>
      <c r="AG41" s="5">
        <v>1002140</v>
      </c>
      <c r="AH41" s="5">
        <v>647375</v>
      </c>
      <c r="AI41" s="3">
        <f t="shared" si="30"/>
        <v>343439</v>
      </c>
      <c r="AJ41" s="5">
        <v>990814</v>
      </c>
      <c r="AK41" s="4">
        <f t="shared" si="31"/>
        <v>0.98869818588221203</v>
      </c>
      <c r="AL41" s="5">
        <v>1011306</v>
      </c>
      <c r="AM41" s="5">
        <v>671475</v>
      </c>
      <c r="AN41" s="3">
        <f t="shared" si="32"/>
        <v>324937</v>
      </c>
      <c r="AO41" s="5">
        <v>996412</v>
      </c>
      <c r="AP41" s="4">
        <f t="shared" si="33"/>
        <v>0.98527250901309793</v>
      </c>
      <c r="AQ41" s="5">
        <v>1119532</v>
      </c>
      <c r="AR41" s="5">
        <v>726843</v>
      </c>
      <c r="AS41" s="3">
        <f t="shared" si="34"/>
        <v>350805</v>
      </c>
      <c r="AT41" s="5">
        <v>1077648</v>
      </c>
      <c r="AU41" s="4">
        <f t="shared" si="35"/>
        <v>0.96258793853145774</v>
      </c>
    </row>
    <row r="42" spans="1:47" x14ac:dyDescent="0.3">
      <c r="A42" s="11">
        <v>34</v>
      </c>
      <c r="B42" s="2" t="s">
        <v>35</v>
      </c>
      <c r="C42" s="5">
        <v>19676</v>
      </c>
      <c r="D42" s="5">
        <v>10333</v>
      </c>
      <c r="E42" s="3">
        <f t="shared" si="18"/>
        <v>9227</v>
      </c>
      <c r="F42" s="5">
        <v>19560</v>
      </c>
      <c r="G42" s="4">
        <f t="shared" si="19"/>
        <v>0.99410449278308599</v>
      </c>
      <c r="H42" s="5">
        <v>19882</v>
      </c>
      <c r="I42" s="5">
        <v>10157</v>
      </c>
      <c r="J42" s="3">
        <f t="shared" si="20"/>
        <v>9485</v>
      </c>
      <c r="K42" s="5">
        <v>19642</v>
      </c>
      <c r="L42" s="4">
        <f t="shared" si="21"/>
        <v>0.98792877980082483</v>
      </c>
      <c r="M42" s="5">
        <v>21930</v>
      </c>
      <c r="N42" s="5">
        <v>11791</v>
      </c>
      <c r="O42" s="3">
        <f t="shared" si="22"/>
        <v>9932</v>
      </c>
      <c r="P42" s="5">
        <v>21723</v>
      </c>
      <c r="Q42" s="4">
        <f t="shared" si="23"/>
        <v>0.99056087551299588</v>
      </c>
      <c r="R42" s="5">
        <v>20021</v>
      </c>
      <c r="S42" s="5">
        <v>10884</v>
      </c>
      <c r="T42" s="3">
        <f t="shared" si="24"/>
        <v>8832</v>
      </c>
      <c r="U42" s="5">
        <v>19716</v>
      </c>
      <c r="V42" s="4">
        <f t="shared" si="25"/>
        <v>0.98476599570451029</v>
      </c>
      <c r="W42" s="5">
        <v>20153</v>
      </c>
      <c r="X42" s="5">
        <v>11207</v>
      </c>
      <c r="Y42" s="3">
        <f t="shared" si="26"/>
        <v>8528</v>
      </c>
      <c r="Z42" s="5">
        <v>19735</v>
      </c>
      <c r="AA42" s="4">
        <f t="shared" si="27"/>
        <v>0.97925867116558329</v>
      </c>
      <c r="AB42" s="5">
        <v>22238</v>
      </c>
      <c r="AC42" s="5">
        <v>12055</v>
      </c>
      <c r="AD42" s="3">
        <f t="shared" si="28"/>
        <v>9689</v>
      </c>
      <c r="AE42" s="5">
        <v>21744</v>
      </c>
      <c r="AF42" s="4">
        <f t="shared" si="29"/>
        <v>0.97778577210180773</v>
      </c>
      <c r="AG42" s="5">
        <v>20276</v>
      </c>
      <c r="AH42" s="5">
        <v>11099</v>
      </c>
      <c r="AI42" s="3">
        <f t="shared" si="30"/>
        <v>8586</v>
      </c>
      <c r="AJ42" s="5">
        <v>19685</v>
      </c>
      <c r="AK42" s="4">
        <f t="shared" si="31"/>
        <v>0.97085223910041429</v>
      </c>
      <c r="AL42" s="5">
        <v>20453</v>
      </c>
      <c r="AM42" s="5">
        <v>11588</v>
      </c>
      <c r="AN42" s="3">
        <f t="shared" si="32"/>
        <v>7993</v>
      </c>
      <c r="AO42" s="5">
        <v>19581</v>
      </c>
      <c r="AP42" s="4">
        <f t="shared" si="33"/>
        <v>0.95736566762822084</v>
      </c>
      <c r="AQ42" s="5">
        <v>22621</v>
      </c>
      <c r="AR42" s="5">
        <v>12301</v>
      </c>
      <c r="AS42" s="3">
        <f t="shared" si="34"/>
        <v>8683</v>
      </c>
      <c r="AT42" s="5">
        <v>20984</v>
      </c>
      <c r="AU42" s="4">
        <f t="shared" si="35"/>
        <v>0.92763361478272399</v>
      </c>
    </row>
    <row r="43" spans="1:47" x14ac:dyDescent="0.3">
      <c r="A43" s="11">
        <v>35</v>
      </c>
      <c r="B43" s="2" t="s">
        <v>45</v>
      </c>
      <c r="C43" s="5">
        <v>3914</v>
      </c>
      <c r="D43" s="5">
        <v>1618</v>
      </c>
      <c r="E43" s="3">
        <f t="shared" si="18"/>
        <v>2243</v>
      </c>
      <c r="F43" s="5">
        <v>3861</v>
      </c>
      <c r="G43" s="4">
        <f t="shared" si="19"/>
        <v>0.98645886561062857</v>
      </c>
      <c r="H43" s="5">
        <v>3941</v>
      </c>
      <c r="I43" s="5">
        <v>1644</v>
      </c>
      <c r="J43" s="3">
        <f t="shared" si="20"/>
        <v>2248</v>
      </c>
      <c r="K43" s="5">
        <v>3892</v>
      </c>
      <c r="L43" s="4">
        <f t="shared" si="21"/>
        <v>0.98756660746003555</v>
      </c>
      <c r="M43" s="5">
        <v>4896</v>
      </c>
      <c r="N43" s="5">
        <v>2144</v>
      </c>
      <c r="O43" s="3">
        <f t="shared" si="22"/>
        <v>2664</v>
      </c>
      <c r="P43" s="5">
        <v>4808</v>
      </c>
      <c r="Q43" s="4">
        <f t="shared" si="23"/>
        <v>0.98202614379084963</v>
      </c>
      <c r="R43" s="5">
        <v>3969</v>
      </c>
      <c r="S43" s="5">
        <v>1773</v>
      </c>
      <c r="T43" s="3">
        <f t="shared" si="24"/>
        <v>2092</v>
      </c>
      <c r="U43" s="5">
        <v>3865</v>
      </c>
      <c r="V43" s="4">
        <f t="shared" si="25"/>
        <v>0.97379692617787861</v>
      </c>
      <c r="W43" s="5">
        <v>4009</v>
      </c>
      <c r="X43" s="5">
        <v>2012</v>
      </c>
      <c r="Y43" s="3">
        <f t="shared" si="26"/>
        <v>1851</v>
      </c>
      <c r="Z43" s="5">
        <v>3863</v>
      </c>
      <c r="AA43" s="4">
        <f t="shared" si="27"/>
        <v>0.9635819406335745</v>
      </c>
      <c r="AB43" s="5">
        <v>4962</v>
      </c>
      <c r="AC43" s="5">
        <v>2254</v>
      </c>
      <c r="AD43" s="3">
        <f t="shared" si="28"/>
        <v>2492</v>
      </c>
      <c r="AE43" s="5">
        <v>4746</v>
      </c>
      <c r="AF43" s="4">
        <f t="shared" si="29"/>
        <v>0.95646916565900841</v>
      </c>
      <c r="AG43" s="5">
        <v>4018</v>
      </c>
      <c r="AH43" s="5">
        <v>1763</v>
      </c>
      <c r="AI43" s="3">
        <f t="shared" si="30"/>
        <v>2002</v>
      </c>
      <c r="AJ43" s="5">
        <v>3765</v>
      </c>
      <c r="AK43" s="4">
        <f t="shared" si="31"/>
        <v>0.93703334992533593</v>
      </c>
      <c r="AL43" s="5">
        <v>4086</v>
      </c>
      <c r="AM43" s="5">
        <v>1915</v>
      </c>
      <c r="AN43" s="3">
        <f t="shared" si="32"/>
        <v>1791</v>
      </c>
      <c r="AO43" s="5">
        <v>3706</v>
      </c>
      <c r="AP43" s="4">
        <f t="shared" si="33"/>
        <v>0.90699951052373962</v>
      </c>
      <c r="AQ43" s="5">
        <v>5072</v>
      </c>
      <c r="AR43" s="5">
        <v>2138</v>
      </c>
      <c r="AS43" s="3">
        <f t="shared" si="34"/>
        <v>2151</v>
      </c>
      <c r="AT43" s="5">
        <v>4289</v>
      </c>
      <c r="AU43" s="4">
        <f t="shared" si="35"/>
        <v>0.84562302839116721</v>
      </c>
    </row>
    <row r="44" spans="1:47" x14ac:dyDescent="0.3">
      <c r="A44" s="11">
        <v>36</v>
      </c>
      <c r="B44" s="2" t="s">
        <v>36</v>
      </c>
      <c r="C44" s="5">
        <v>383538</v>
      </c>
      <c r="D44" s="5">
        <v>194017</v>
      </c>
      <c r="E44" s="3">
        <f t="shared" si="18"/>
        <v>185204</v>
      </c>
      <c r="F44" s="5">
        <v>379221</v>
      </c>
      <c r="G44" s="4">
        <f t="shared" si="19"/>
        <v>0.9887442704503856</v>
      </c>
      <c r="H44" s="5">
        <v>388149</v>
      </c>
      <c r="I44" s="5">
        <v>198804</v>
      </c>
      <c r="J44" s="3">
        <f t="shared" si="20"/>
        <v>183463</v>
      </c>
      <c r="K44" s="5">
        <v>382267</v>
      </c>
      <c r="L44" s="4">
        <f t="shared" si="21"/>
        <v>0.98484602562418044</v>
      </c>
      <c r="M44" s="5">
        <v>456953</v>
      </c>
      <c r="N44" s="5">
        <v>241806</v>
      </c>
      <c r="O44" s="3">
        <f t="shared" si="22"/>
        <v>210473</v>
      </c>
      <c r="P44" s="5">
        <v>452279</v>
      </c>
      <c r="Q44" s="4">
        <f t="shared" si="23"/>
        <v>0.98977137692497918</v>
      </c>
      <c r="R44" s="5">
        <v>388846</v>
      </c>
      <c r="S44" s="5">
        <v>204094</v>
      </c>
      <c r="T44" s="3">
        <f t="shared" si="24"/>
        <v>179509</v>
      </c>
      <c r="U44" s="5">
        <v>383603</v>
      </c>
      <c r="V44" s="4">
        <f t="shared" si="25"/>
        <v>0.98651651296400122</v>
      </c>
      <c r="W44" s="5">
        <v>393146</v>
      </c>
      <c r="X44" s="5">
        <v>209588</v>
      </c>
      <c r="Y44" s="3">
        <f t="shared" si="26"/>
        <v>175727</v>
      </c>
      <c r="Z44" s="5">
        <v>385315</v>
      </c>
      <c r="AA44" s="4">
        <f t="shared" si="27"/>
        <v>0.98008119121140747</v>
      </c>
      <c r="AB44" s="5">
        <v>465292</v>
      </c>
      <c r="AC44" s="5">
        <v>238024</v>
      </c>
      <c r="AD44" s="3">
        <f t="shared" si="28"/>
        <v>217590</v>
      </c>
      <c r="AE44" s="5">
        <v>455614</v>
      </c>
      <c r="AF44" s="4">
        <f t="shared" si="29"/>
        <v>0.97920015818023953</v>
      </c>
      <c r="AG44" s="5">
        <v>393778</v>
      </c>
      <c r="AH44" s="5">
        <v>210607</v>
      </c>
      <c r="AI44" s="3">
        <f t="shared" si="30"/>
        <v>174521</v>
      </c>
      <c r="AJ44" s="5">
        <v>385128</v>
      </c>
      <c r="AK44" s="4">
        <f t="shared" si="31"/>
        <v>0.97803330810761391</v>
      </c>
      <c r="AL44" s="5">
        <v>398873</v>
      </c>
      <c r="AM44" s="5">
        <v>221504</v>
      </c>
      <c r="AN44" s="3">
        <f t="shared" si="32"/>
        <v>168434</v>
      </c>
      <c r="AO44" s="5">
        <v>389938</v>
      </c>
      <c r="AP44" s="4">
        <f t="shared" si="33"/>
        <v>0.97759938627081799</v>
      </c>
      <c r="AQ44" s="5">
        <v>476819</v>
      </c>
      <c r="AR44" s="5">
        <v>255639</v>
      </c>
      <c r="AS44" s="3">
        <f t="shared" si="34"/>
        <v>193930</v>
      </c>
      <c r="AT44" s="5">
        <v>449569</v>
      </c>
      <c r="AU44" s="4">
        <f t="shared" si="35"/>
        <v>0.94285043171517913</v>
      </c>
    </row>
    <row r="45" spans="1:47" x14ac:dyDescent="0.3">
      <c r="A45" s="11">
        <v>37</v>
      </c>
      <c r="B45" s="2" t="s">
        <v>37</v>
      </c>
      <c r="C45" s="5">
        <v>277496</v>
      </c>
      <c r="D45" s="5">
        <v>138494</v>
      </c>
      <c r="E45" s="3">
        <f t="shared" si="18"/>
        <v>138031</v>
      </c>
      <c r="F45" s="5">
        <v>276525</v>
      </c>
      <c r="G45" s="4">
        <f t="shared" si="19"/>
        <v>0.99650085046270942</v>
      </c>
      <c r="H45" s="5">
        <v>280269</v>
      </c>
      <c r="I45" s="5">
        <v>140127</v>
      </c>
      <c r="J45" s="3">
        <f t="shared" si="20"/>
        <v>138227</v>
      </c>
      <c r="K45" s="5">
        <v>278354</v>
      </c>
      <c r="L45" s="4">
        <f t="shared" si="21"/>
        <v>0.99316727857879394</v>
      </c>
      <c r="M45" s="5">
        <v>334005</v>
      </c>
      <c r="N45" s="5">
        <v>169736</v>
      </c>
      <c r="O45" s="3">
        <f t="shared" si="22"/>
        <v>161507</v>
      </c>
      <c r="P45" s="5">
        <v>331243</v>
      </c>
      <c r="Q45" s="4">
        <f t="shared" si="23"/>
        <v>0.99173066271463006</v>
      </c>
      <c r="R45" s="5">
        <v>281510</v>
      </c>
      <c r="S45" s="5">
        <v>145581</v>
      </c>
      <c r="T45" s="3">
        <f t="shared" si="24"/>
        <v>133179</v>
      </c>
      <c r="U45" s="5">
        <v>278760</v>
      </c>
      <c r="V45" s="4">
        <f t="shared" si="25"/>
        <v>0.99023125288622071</v>
      </c>
      <c r="W45" s="5">
        <v>284325</v>
      </c>
      <c r="X45" s="5">
        <v>147899</v>
      </c>
      <c r="Y45" s="3">
        <f t="shared" si="26"/>
        <v>131297</v>
      </c>
      <c r="Z45" s="5">
        <v>279196</v>
      </c>
      <c r="AA45" s="4">
        <f t="shared" si="27"/>
        <v>0.98196078431372547</v>
      </c>
      <c r="AB45" s="5">
        <v>338696</v>
      </c>
      <c r="AC45" s="5">
        <v>163270</v>
      </c>
      <c r="AD45" s="3">
        <f t="shared" si="28"/>
        <v>167899</v>
      </c>
      <c r="AE45" s="5">
        <v>331169</v>
      </c>
      <c r="AF45" s="4">
        <f t="shared" si="29"/>
        <v>0.97777653116659191</v>
      </c>
      <c r="AG45" s="5">
        <v>285325</v>
      </c>
      <c r="AH45" s="5">
        <v>143199</v>
      </c>
      <c r="AI45" s="3">
        <f t="shared" si="30"/>
        <v>135054</v>
      </c>
      <c r="AJ45" s="5">
        <v>278253</v>
      </c>
      <c r="AK45" s="4">
        <f t="shared" si="31"/>
        <v>0.97521422938754054</v>
      </c>
      <c r="AL45" s="5">
        <v>289428</v>
      </c>
      <c r="AM45" s="5">
        <v>153834</v>
      </c>
      <c r="AN45" s="3">
        <f t="shared" si="32"/>
        <v>127921</v>
      </c>
      <c r="AO45" s="5">
        <v>281755</v>
      </c>
      <c r="AP45" s="4">
        <f t="shared" si="33"/>
        <v>0.97348908882347251</v>
      </c>
      <c r="AQ45" s="5">
        <v>348161</v>
      </c>
      <c r="AR45" s="5">
        <v>175854</v>
      </c>
      <c r="AS45" s="3">
        <f t="shared" si="34"/>
        <v>149680</v>
      </c>
      <c r="AT45" s="5">
        <v>325534</v>
      </c>
      <c r="AU45" s="4">
        <f t="shared" si="35"/>
        <v>0.93500995229218664</v>
      </c>
    </row>
    <row r="46" spans="1:47" x14ac:dyDescent="0.3">
      <c r="A46" s="11">
        <v>38</v>
      </c>
      <c r="B46" s="2" t="s">
        <v>38</v>
      </c>
      <c r="C46" s="5">
        <v>2430</v>
      </c>
      <c r="D46" s="5">
        <v>852</v>
      </c>
      <c r="E46" s="3">
        <f t="shared" si="18"/>
        <v>1631</v>
      </c>
      <c r="F46" s="5">
        <v>2483</v>
      </c>
      <c r="G46" s="4">
        <f t="shared" si="19"/>
        <v>1.0218106995884773</v>
      </c>
      <c r="H46" s="5">
        <v>2594</v>
      </c>
      <c r="I46" s="5">
        <v>1005</v>
      </c>
      <c r="J46" s="3">
        <f t="shared" si="20"/>
        <v>1620</v>
      </c>
      <c r="K46" s="5">
        <v>2625</v>
      </c>
      <c r="L46" s="4">
        <f t="shared" si="21"/>
        <v>1.0119506553585196</v>
      </c>
      <c r="M46" s="5">
        <v>8454</v>
      </c>
      <c r="N46" s="5">
        <v>2855</v>
      </c>
      <c r="O46" s="3">
        <f t="shared" si="22"/>
        <v>5698</v>
      </c>
      <c r="P46" s="5">
        <v>8553</v>
      </c>
      <c r="Q46" s="4">
        <f t="shared" si="23"/>
        <v>1.0117104329311568</v>
      </c>
      <c r="R46" s="5">
        <v>2484</v>
      </c>
      <c r="S46" s="5">
        <v>940</v>
      </c>
      <c r="T46" s="3">
        <f t="shared" si="24"/>
        <v>1611</v>
      </c>
      <c r="U46" s="5">
        <v>2551</v>
      </c>
      <c r="V46" s="4">
        <f t="shared" si="25"/>
        <v>1.0269726247987117</v>
      </c>
      <c r="W46" s="5">
        <v>2748</v>
      </c>
      <c r="X46" s="5">
        <v>1127</v>
      </c>
      <c r="Y46" s="3">
        <f t="shared" si="26"/>
        <v>1507</v>
      </c>
      <c r="Z46" s="5">
        <v>2634</v>
      </c>
      <c r="AA46" s="4">
        <f t="shared" si="27"/>
        <v>0.95851528384279472</v>
      </c>
      <c r="AB46" s="5">
        <v>8770</v>
      </c>
      <c r="AC46" s="5">
        <v>2986</v>
      </c>
      <c r="AD46" s="3">
        <f t="shared" si="28"/>
        <v>5658</v>
      </c>
      <c r="AE46" s="5">
        <v>8644</v>
      </c>
      <c r="AF46" s="4">
        <f t="shared" si="29"/>
        <v>0.98563283922462941</v>
      </c>
      <c r="AG46" s="5">
        <v>2523</v>
      </c>
      <c r="AH46" s="5">
        <v>1056</v>
      </c>
      <c r="AI46" s="3">
        <f t="shared" si="30"/>
        <v>1381</v>
      </c>
      <c r="AJ46" s="5">
        <v>2437</v>
      </c>
      <c r="AK46" s="4">
        <f t="shared" si="31"/>
        <v>0.96591359492667461</v>
      </c>
      <c r="AL46" s="5">
        <v>2722</v>
      </c>
      <c r="AM46" s="5">
        <v>1164</v>
      </c>
      <c r="AN46" s="3">
        <f t="shared" si="32"/>
        <v>1330</v>
      </c>
      <c r="AO46" s="5">
        <v>2494</v>
      </c>
      <c r="AP46" s="4">
        <f t="shared" si="33"/>
        <v>0.91623806024981636</v>
      </c>
      <c r="AQ46" s="5">
        <v>8967</v>
      </c>
      <c r="AR46" s="5">
        <v>3220</v>
      </c>
      <c r="AS46" s="3">
        <f t="shared" si="34"/>
        <v>4938</v>
      </c>
      <c r="AT46" s="5">
        <v>8158</v>
      </c>
      <c r="AU46" s="4">
        <f t="shared" si="35"/>
        <v>0.9097803055648489</v>
      </c>
    </row>
    <row r="47" spans="1:47" x14ac:dyDescent="0.3">
      <c r="A47" s="11">
        <v>97</v>
      </c>
      <c r="B47" s="2" t="s">
        <v>39</v>
      </c>
      <c r="C47" s="5">
        <v>109</v>
      </c>
      <c r="D47" s="5">
        <v>95</v>
      </c>
      <c r="E47" s="3">
        <f t="shared" si="18"/>
        <v>28</v>
      </c>
      <c r="F47" s="5">
        <v>123</v>
      </c>
      <c r="G47" s="4">
        <f t="shared" si="19"/>
        <v>1.128440366972477</v>
      </c>
      <c r="H47" s="5">
        <v>98</v>
      </c>
      <c r="I47" s="5">
        <v>85</v>
      </c>
      <c r="J47" s="3">
        <f t="shared" si="20"/>
        <v>29</v>
      </c>
      <c r="K47" s="5">
        <v>114</v>
      </c>
      <c r="L47" s="4">
        <f t="shared" si="21"/>
        <v>1.1632653061224489</v>
      </c>
      <c r="M47" s="5">
        <v>123</v>
      </c>
      <c r="N47" s="5">
        <v>94</v>
      </c>
      <c r="O47" s="3">
        <f t="shared" si="22"/>
        <v>24</v>
      </c>
      <c r="P47" s="5">
        <v>118</v>
      </c>
      <c r="Q47" s="4">
        <f t="shared" si="23"/>
        <v>0.95934959349593496</v>
      </c>
      <c r="R47" s="5">
        <v>133</v>
      </c>
      <c r="S47" s="5">
        <v>83</v>
      </c>
      <c r="T47" s="3">
        <f t="shared" si="24"/>
        <v>11</v>
      </c>
      <c r="U47" s="5">
        <v>94</v>
      </c>
      <c r="V47" s="4">
        <f t="shared" si="25"/>
        <v>0.70676691729323304</v>
      </c>
      <c r="W47" s="5">
        <v>85</v>
      </c>
      <c r="X47" s="5">
        <v>69</v>
      </c>
      <c r="Y47" s="3">
        <f t="shared" si="26"/>
        <v>4</v>
      </c>
      <c r="Z47" s="5">
        <v>73</v>
      </c>
      <c r="AA47" s="4">
        <f t="shared" si="27"/>
        <v>0.85882352941176465</v>
      </c>
      <c r="AB47" s="5">
        <v>83</v>
      </c>
      <c r="AC47" s="5">
        <v>74</v>
      </c>
      <c r="AD47" s="3">
        <f t="shared" si="28"/>
        <v>2</v>
      </c>
      <c r="AE47" s="5">
        <v>76</v>
      </c>
      <c r="AF47" s="4">
        <f t="shared" si="29"/>
        <v>0.91566265060240959</v>
      </c>
      <c r="AG47" s="5">
        <v>76</v>
      </c>
      <c r="AH47" s="5">
        <v>68</v>
      </c>
      <c r="AI47" s="3">
        <f t="shared" si="30"/>
        <v>4</v>
      </c>
      <c r="AJ47" s="5">
        <v>72</v>
      </c>
      <c r="AK47" s="4">
        <f t="shared" si="31"/>
        <v>0.94736842105263153</v>
      </c>
      <c r="AL47" s="5">
        <v>76</v>
      </c>
      <c r="AM47" s="5">
        <v>69</v>
      </c>
      <c r="AN47" s="3">
        <f t="shared" si="32"/>
        <v>4</v>
      </c>
      <c r="AO47" s="5">
        <v>73</v>
      </c>
      <c r="AP47" s="4">
        <f t="shared" si="33"/>
        <v>0.96052631578947367</v>
      </c>
      <c r="AQ47" s="5">
        <v>79</v>
      </c>
      <c r="AR47" s="5">
        <v>72</v>
      </c>
      <c r="AS47" s="3">
        <f t="shared" si="34"/>
        <v>2</v>
      </c>
      <c r="AT47" s="5">
        <v>74</v>
      </c>
      <c r="AU47" s="4">
        <f t="shared" si="35"/>
        <v>0.93670886075949367</v>
      </c>
    </row>
    <row r="48" spans="1:47" ht="15.6" x14ac:dyDescent="0.3">
      <c r="A48" s="20" t="s">
        <v>40</v>
      </c>
      <c r="B48" s="20"/>
      <c r="C48" s="7">
        <f>SUM(C10:C47)</f>
        <v>8623084</v>
      </c>
      <c r="D48" s="7">
        <f>SUM(D10:D47)</f>
        <v>5194356</v>
      </c>
      <c r="E48" s="8">
        <f>F48-D48</f>
        <v>3371366</v>
      </c>
      <c r="F48" s="7">
        <f>SUM(F10:F47)</f>
        <v>8565722</v>
      </c>
      <c r="G48" s="6">
        <f t="shared" si="19"/>
        <v>0.99334785559319616</v>
      </c>
      <c r="H48" s="7">
        <f>SUM(H10:H47)</f>
        <v>8773119</v>
      </c>
      <c r="I48" s="7">
        <f>SUM(I10:I47)</f>
        <v>5304773</v>
      </c>
      <c r="J48" s="8">
        <f>K48-I48</f>
        <v>3372860</v>
      </c>
      <c r="K48" s="7">
        <f>SUM(K10:K47)</f>
        <v>8677633</v>
      </c>
      <c r="L48" s="6">
        <f t="shared" si="21"/>
        <v>0.98911607149065228</v>
      </c>
      <c r="M48" s="7">
        <f>SUM(M10:M47)</f>
        <v>13355491</v>
      </c>
      <c r="N48" s="7">
        <f>SUM(N10:N47)</f>
        <v>7841616</v>
      </c>
      <c r="O48" s="8">
        <f>P48-N48</f>
        <v>5432585</v>
      </c>
      <c r="P48" s="7">
        <f>SUM(P10:P47)</f>
        <v>13274201</v>
      </c>
      <c r="Q48" s="6">
        <f t="shared" si="23"/>
        <v>0.99391336492233795</v>
      </c>
      <c r="R48" s="7">
        <f>SUM(R10:R47)</f>
        <v>8770642</v>
      </c>
      <c r="S48" s="7">
        <f>SUM(S10:S47)</f>
        <v>5450931</v>
      </c>
      <c r="T48" s="8">
        <f>U48-S48</f>
        <v>3235421</v>
      </c>
      <c r="U48" s="7">
        <f>SUM(U10:U47)</f>
        <v>8686352</v>
      </c>
      <c r="V48" s="6">
        <f t="shared" si="25"/>
        <v>0.99038952906754152</v>
      </c>
      <c r="W48" s="7">
        <f>SUM(W10:W47)</f>
        <v>8932573</v>
      </c>
      <c r="X48" s="7">
        <f>SUM(X10:X47)</f>
        <v>5571650</v>
      </c>
      <c r="Y48" s="8">
        <f>Z48-X48</f>
        <v>3188707</v>
      </c>
      <c r="Z48" s="7">
        <f>SUM(Z10:Z47)</f>
        <v>8760357</v>
      </c>
      <c r="AA48" s="6">
        <f t="shared" si="27"/>
        <v>0.98072044863221386</v>
      </c>
      <c r="AB48" s="7">
        <f>SUM(AB10:AB47)</f>
        <v>13607810</v>
      </c>
      <c r="AC48" s="7">
        <f>SUM(AC10:AC47)</f>
        <v>7841773</v>
      </c>
      <c r="AD48" s="8">
        <f>AE48-AC48</f>
        <v>5525093</v>
      </c>
      <c r="AE48" s="7">
        <f>SUM(AE10:AE47)</f>
        <v>13366866</v>
      </c>
      <c r="AF48" s="6">
        <f t="shared" si="29"/>
        <v>0.98229369751635276</v>
      </c>
      <c r="AG48" s="7">
        <f>SUM(AG10:AG47)</f>
        <v>8917104</v>
      </c>
      <c r="AH48" s="7">
        <f>SUM(AH10:AH47)</f>
        <v>5495487</v>
      </c>
      <c r="AI48" s="8">
        <f>AJ48-AH48</f>
        <v>3219169</v>
      </c>
      <c r="AJ48" s="7">
        <f>SUM(AJ10:AJ47)</f>
        <v>8714656</v>
      </c>
      <c r="AK48" s="6">
        <f t="shared" si="31"/>
        <v>0.97729666492619127</v>
      </c>
      <c r="AL48" s="7">
        <f>SUM(AL10:AL47)</f>
        <v>9127360</v>
      </c>
      <c r="AM48" s="7">
        <f>SUM(AM10:AM47)</f>
        <v>5765465</v>
      </c>
      <c r="AN48" s="8">
        <f>AO48-AM48</f>
        <v>3122225</v>
      </c>
      <c r="AO48" s="7">
        <f>SUM(AO10:AO47)</f>
        <v>8887690</v>
      </c>
      <c r="AP48" s="6">
        <f t="shared" si="33"/>
        <v>0.97374158573782565</v>
      </c>
      <c r="AQ48" s="7">
        <f>SUM(AQ10:AQ47)</f>
        <v>13977125</v>
      </c>
      <c r="AR48" s="7">
        <f>SUM(AR10:AR47)</f>
        <v>8239390</v>
      </c>
      <c r="AS48" s="8">
        <f>AT48-AR48</f>
        <v>4965636</v>
      </c>
      <c r="AT48" s="7">
        <f>SUM(AT10:AT47)</f>
        <v>13205026</v>
      </c>
      <c r="AU48" s="6">
        <f t="shared" si="35"/>
        <v>0.94475981290859168</v>
      </c>
    </row>
  </sheetData>
  <mergeCells count="13">
    <mergeCell ref="AQ8:AU8"/>
    <mergeCell ref="AL8:AP8"/>
    <mergeCell ref="AG8:AK8"/>
    <mergeCell ref="A48:B48"/>
    <mergeCell ref="AB8:AF8"/>
    <mergeCell ref="A3:B3"/>
    <mergeCell ref="A8:A9"/>
    <mergeCell ref="B8:B9"/>
    <mergeCell ref="M8:Q8"/>
    <mergeCell ref="W8:AA8"/>
    <mergeCell ref="R8:V8"/>
    <mergeCell ref="H8:L8"/>
    <mergeCell ref="C8:G8"/>
  </mergeCells>
  <pageMargins left="0.7" right="0.7" top="0.75" bottom="0.75" header="0.3" footer="0.3"/>
  <pageSetup orientation="portrait" r:id="rId1"/>
  <ignoredErrors>
    <ignoredError sqref="A19: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2026-02-13T07:23:48Z</dcterms:modified>
</cp:coreProperties>
</file>