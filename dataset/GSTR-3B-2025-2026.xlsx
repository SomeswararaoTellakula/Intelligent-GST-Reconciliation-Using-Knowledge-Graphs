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GSTR 3B\"/>
    </mc:Choice>
  </mc:AlternateContent>
  <xr:revisionPtr revIDLastSave="0" documentId="13_ncr:1_{7FA47ED3-CE3F-465B-8C74-345C323F45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8" i="1" l="1"/>
  <c r="AR48" i="1"/>
  <c r="AQ48" i="1"/>
  <c r="AU47" i="1"/>
  <c r="AS47" i="1"/>
  <c r="AU46" i="1"/>
  <c r="AS46" i="1"/>
  <c r="AU45" i="1"/>
  <c r="AS45" i="1"/>
  <c r="AU44" i="1"/>
  <c r="AS44" i="1"/>
  <c r="AU43" i="1"/>
  <c r="AS43" i="1"/>
  <c r="AU42" i="1"/>
  <c r="AS42" i="1"/>
  <c r="AU41" i="1"/>
  <c r="AS41" i="1"/>
  <c r="AU40" i="1"/>
  <c r="AS40" i="1"/>
  <c r="AU39" i="1"/>
  <c r="AS39" i="1"/>
  <c r="AU38" i="1"/>
  <c r="AS38" i="1"/>
  <c r="AU37" i="1"/>
  <c r="AS37" i="1"/>
  <c r="AU36" i="1"/>
  <c r="AS36" i="1"/>
  <c r="AU35" i="1"/>
  <c r="AS35" i="1"/>
  <c r="AU33" i="1"/>
  <c r="AS33" i="1"/>
  <c r="AU32" i="1"/>
  <c r="AS32" i="1"/>
  <c r="AU31" i="1"/>
  <c r="AS31" i="1"/>
  <c r="AU30" i="1"/>
  <c r="AS30" i="1"/>
  <c r="AU29" i="1"/>
  <c r="AS29" i="1"/>
  <c r="AU28" i="1"/>
  <c r="AS28" i="1"/>
  <c r="AU27" i="1"/>
  <c r="AS27" i="1"/>
  <c r="AU26" i="1"/>
  <c r="AS26" i="1"/>
  <c r="AU25" i="1"/>
  <c r="AS25" i="1"/>
  <c r="AU24" i="1"/>
  <c r="AS24" i="1"/>
  <c r="AU23" i="1"/>
  <c r="AS23" i="1"/>
  <c r="AU22" i="1"/>
  <c r="AS22" i="1"/>
  <c r="AU21" i="1"/>
  <c r="AS21" i="1"/>
  <c r="AU20" i="1"/>
  <c r="AS20" i="1"/>
  <c r="AU19" i="1"/>
  <c r="AS19" i="1"/>
  <c r="AU18" i="1"/>
  <c r="AS18" i="1"/>
  <c r="AU17" i="1"/>
  <c r="AS17" i="1"/>
  <c r="AU16" i="1"/>
  <c r="AS16" i="1"/>
  <c r="AU15" i="1"/>
  <c r="AS15" i="1"/>
  <c r="AU14" i="1"/>
  <c r="AS14" i="1"/>
  <c r="AU13" i="1"/>
  <c r="AS13" i="1"/>
  <c r="AU12" i="1"/>
  <c r="AS12" i="1"/>
  <c r="AU11" i="1"/>
  <c r="AS11" i="1"/>
  <c r="AU10" i="1"/>
  <c r="AS10" i="1"/>
  <c r="AO48" i="1"/>
  <c r="AM48" i="1"/>
  <c r="AL48" i="1"/>
  <c r="AP47" i="1"/>
  <c r="AN47" i="1"/>
  <c r="AP46" i="1"/>
  <c r="AN46" i="1"/>
  <c r="AP45" i="1"/>
  <c r="AN45" i="1"/>
  <c r="AP44" i="1"/>
  <c r="AN44" i="1"/>
  <c r="AP43" i="1"/>
  <c r="AN43" i="1"/>
  <c r="AP42" i="1"/>
  <c r="AN42" i="1"/>
  <c r="AP41" i="1"/>
  <c r="AN41" i="1"/>
  <c r="AP40" i="1"/>
  <c r="AN40" i="1"/>
  <c r="AP39" i="1"/>
  <c r="AN39" i="1"/>
  <c r="AP38" i="1"/>
  <c r="AN38" i="1"/>
  <c r="AP37" i="1"/>
  <c r="AN37" i="1"/>
  <c r="AP36" i="1"/>
  <c r="AN36" i="1"/>
  <c r="AP35" i="1"/>
  <c r="AN35" i="1"/>
  <c r="AP33" i="1"/>
  <c r="AN33" i="1"/>
  <c r="AP32" i="1"/>
  <c r="AN32" i="1"/>
  <c r="AP31" i="1"/>
  <c r="AN31" i="1"/>
  <c r="AP30" i="1"/>
  <c r="AN30" i="1"/>
  <c r="AP29" i="1"/>
  <c r="AN29" i="1"/>
  <c r="AP28" i="1"/>
  <c r="AN28" i="1"/>
  <c r="AP27" i="1"/>
  <c r="AN27" i="1"/>
  <c r="AP26" i="1"/>
  <c r="AN26" i="1"/>
  <c r="AP25" i="1"/>
  <c r="AN25" i="1"/>
  <c r="AP24" i="1"/>
  <c r="AN24" i="1"/>
  <c r="AP23" i="1"/>
  <c r="AN23" i="1"/>
  <c r="AP22" i="1"/>
  <c r="AN22" i="1"/>
  <c r="AP21" i="1"/>
  <c r="AN21" i="1"/>
  <c r="AP20" i="1"/>
  <c r="AN20" i="1"/>
  <c r="AP19" i="1"/>
  <c r="AN19" i="1"/>
  <c r="AP18" i="1"/>
  <c r="AN18" i="1"/>
  <c r="AP17" i="1"/>
  <c r="AN17" i="1"/>
  <c r="AP16" i="1"/>
  <c r="AN16" i="1"/>
  <c r="AP15" i="1"/>
  <c r="AN15" i="1"/>
  <c r="AP14" i="1"/>
  <c r="AN14" i="1"/>
  <c r="AP13" i="1"/>
  <c r="AN13" i="1"/>
  <c r="AP12" i="1"/>
  <c r="AN12" i="1"/>
  <c r="AP11" i="1"/>
  <c r="AN11" i="1"/>
  <c r="AP10" i="1"/>
  <c r="AN10" i="1"/>
  <c r="AJ48" i="1"/>
  <c r="AH48" i="1"/>
  <c r="AG48" i="1"/>
  <c r="AK47" i="1"/>
  <c r="AI47" i="1"/>
  <c r="AK46" i="1"/>
  <c r="AI46" i="1"/>
  <c r="AK45" i="1"/>
  <c r="AI45" i="1"/>
  <c r="AK44" i="1"/>
  <c r="AI44" i="1"/>
  <c r="AK43" i="1"/>
  <c r="AI43" i="1"/>
  <c r="AK42" i="1"/>
  <c r="AI42" i="1"/>
  <c r="AK41" i="1"/>
  <c r="AI41" i="1"/>
  <c r="AK40" i="1"/>
  <c r="AI40" i="1"/>
  <c r="AK39" i="1"/>
  <c r="AI39" i="1"/>
  <c r="AK38" i="1"/>
  <c r="AI38" i="1"/>
  <c r="AK37" i="1"/>
  <c r="AI37" i="1"/>
  <c r="AK36" i="1"/>
  <c r="AI36" i="1"/>
  <c r="AK35" i="1"/>
  <c r="AI35" i="1"/>
  <c r="AK33" i="1"/>
  <c r="AI33" i="1"/>
  <c r="AK32" i="1"/>
  <c r="AI32" i="1"/>
  <c r="AK31" i="1"/>
  <c r="AI31" i="1"/>
  <c r="AK30" i="1"/>
  <c r="AI30" i="1"/>
  <c r="AK29" i="1"/>
  <c r="AI29" i="1"/>
  <c r="AK28" i="1"/>
  <c r="AI28" i="1"/>
  <c r="AK27" i="1"/>
  <c r="AI27" i="1"/>
  <c r="AK26" i="1"/>
  <c r="AI26" i="1"/>
  <c r="AK25" i="1"/>
  <c r="AI25" i="1"/>
  <c r="AK24" i="1"/>
  <c r="AI24" i="1"/>
  <c r="AK23" i="1"/>
  <c r="AI23" i="1"/>
  <c r="AK22" i="1"/>
  <c r="AI22" i="1"/>
  <c r="AK21" i="1"/>
  <c r="AI21" i="1"/>
  <c r="AK20" i="1"/>
  <c r="AI20" i="1"/>
  <c r="AK19" i="1"/>
  <c r="AI19" i="1"/>
  <c r="AK18" i="1"/>
  <c r="AI18" i="1"/>
  <c r="AK17" i="1"/>
  <c r="AI17" i="1"/>
  <c r="AK16" i="1"/>
  <c r="AI16" i="1"/>
  <c r="AK15" i="1"/>
  <c r="AI15" i="1"/>
  <c r="AK14" i="1"/>
  <c r="AI14" i="1"/>
  <c r="AK13" i="1"/>
  <c r="AI13" i="1"/>
  <c r="AK12" i="1"/>
  <c r="AI12" i="1"/>
  <c r="AK11" i="1"/>
  <c r="AI11" i="1"/>
  <c r="AK10" i="1"/>
  <c r="AI10" i="1"/>
  <c r="AC48" i="1"/>
  <c r="AE48" i="1"/>
  <c r="AB48" i="1"/>
  <c r="AF47" i="1"/>
  <c r="AD47" i="1"/>
  <c r="AF46" i="1"/>
  <c r="AD46" i="1"/>
  <c r="AF45" i="1"/>
  <c r="AD45" i="1"/>
  <c r="AF44" i="1"/>
  <c r="AD44" i="1"/>
  <c r="AF43" i="1"/>
  <c r="AD43" i="1"/>
  <c r="AF42" i="1"/>
  <c r="AD42" i="1"/>
  <c r="AF41" i="1"/>
  <c r="AD41" i="1"/>
  <c r="AF40" i="1"/>
  <c r="AD40" i="1"/>
  <c r="AF39" i="1"/>
  <c r="AD39" i="1"/>
  <c r="AF38" i="1"/>
  <c r="AD38" i="1"/>
  <c r="AF37" i="1"/>
  <c r="AD37" i="1"/>
  <c r="AF36" i="1"/>
  <c r="AD36" i="1"/>
  <c r="AF35" i="1"/>
  <c r="AD35" i="1"/>
  <c r="AF33" i="1"/>
  <c r="AD33" i="1"/>
  <c r="AF32" i="1"/>
  <c r="AD32" i="1"/>
  <c r="AF31" i="1"/>
  <c r="AD31" i="1"/>
  <c r="AF30" i="1"/>
  <c r="AD30" i="1"/>
  <c r="AF29" i="1"/>
  <c r="AD29" i="1"/>
  <c r="AF28" i="1"/>
  <c r="AD28" i="1"/>
  <c r="AF27" i="1"/>
  <c r="AD27" i="1"/>
  <c r="AF26" i="1"/>
  <c r="AD26" i="1"/>
  <c r="AF25" i="1"/>
  <c r="AD25" i="1"/>
  <c r="AF24" i="1"/>
  <c r="AD24" i="1"/>
  <c r="AF23" i="1"/>
  <c r="AD23" i="1"/>
  <c r="AF22" i="1"/>
  <c r="AD22" i="1"/>
  <c r="AF21" i="1"/>
  <c r="AD21" i="1"/>
  <c r="AF20" i="1"/>
  <c r="AD20" i="1"/>
  <c r="AF19" i="1"/>
  <c r="AD19" i="1"/>
  <c r="AF18" i="1"/>
  <c r="AD18" i="1"/>
  <c r="AF17" i="1"/>
  <c r="AD17" i="1"/>
  <c r="AF16" i="1"/>
  <c r="AD16" i="1"/>
  <c r="AF15" i="1"/>
  <c r="AD15" i="1"/>
  <c r="AF14" i="1"/>
  <c r="AD14" i="1"/>
  <c r="AF13" i="1"/>
  <c r="AD13" i="1"/>
  <c r="AF12" i="1"/>
  <c r="AD12" i="1"/>
  <c r="AF11" i="1"/>
  <c r="AD11" i="1"/>
  <c r="AF10" i="1"/>
  <c r="AD10" i="1"/>
  <c r="Z48" i="1"/>
  <c r="X48" i="1"/>
  <c r="W48" i="1"/>
  <c r="AA47" i="1"/>
  <c r="Y47" i="1"/>
  <c r="AA46" i="1"/>
  <c r="Y46" i="1"/>
  <c r="AA45" i="1"/>
  <c r="Y45" i="1"/>
  <c r="AA44" i="1"/>
  <c r="Y44" i="1"/>
  <c r="AA43" i="1"/>
  <c r="Y43" i="1"/>
  <c r="AA42" i="1"/>
  <c r="Y42" i="1"/>
  <c r="AA41" i="1"/>
  <c r="Y41" i="1"/>
  <c r="AA40" i="1"/>
  <c r="Y40" i="1"/>
  <c r="AA39" i="1"/>
  <c r="Y39" i="1"/>
  <c r="AA38" i="1"/>
  <c r="Y38" i="1"/>
  <c r="AA37" i="1"/>
  <c r="Y37" i="1"/>
  <c r="AA36" i="1"/>
  <c r="Y36" i="1"/>
  <c r="AA35" i="1"/>
  <c r="Y35" i="1"/>
  <c r="AA33" i="1"/>
  <c r="Y33" i="1"/>
  <c r="AA32" i="1"/>
  <c r="Y32" i="1"/>
  <c r="AA31" i="1"/>
  <c r="Y31" i="1"/>
  <c r="AA30" i="1"/>
  <c r="Y30" i="1"/>
  <c r="AA29" i="1"/>
  <c r="Y29" i="1"/>
  <c r="AA28" i="1"/>
  <c r="Y28" i="1"/>
  <c r="AA27" i="1"/>
  <c r="Y27" i="1"/>
  <c r="AA26" i="1"/>
  <c r="Y26" i="1"/>
  <c r="AA25" i="1"/>
  <c r="Y25" i="1"/>
  <c r="AA24" i="1"/>
  <c r="Y24" i="1"/>
  <c r="AA23" i="1"/>
  <c r="Y23" i="1"/>
  <c r="AA22" i="1"/>
  <c r="Y22" i="1"/>
  <c r="AA21" i="1"/>
  <c r="Y21" i="1"/>
  <c r="AA20" i="1"/>
  <c r="Y20" i="1"/>
  <c r="AA19" i="1"/>
  <c r="Y19" i="1"/>
  <c r="AA18" i="1"/>
  <c r="Y18" i="1"/>
  <c r="AA17" i="1"/>
  <c r="Y17" i="1"/>
  <c r="AA16" i="1"/>
  <c r="Y16" i="1"/>
  <c r="AA15" i="1"/>
  <c r="Y15" i="1"/>
  <c r="AA14" i="1"/>
  <c r="Y14" i="1"/>
  <c r="AA13" i="1"/>
  <c r="Y13" i="1"/>
  <c r="AA12" i="1"/>
  <c r="Y12" i="1"/>
  <c r="AA11" i="1"/>
  <c r="Y11" i="1"/>
  <c r="AA10" i="1"/>
  <c r="Y10" i="1"/>
  <c r="U48" i="1"/>
  <c r="S48" i="1"/>
  <c r="R48" i="1"/>
  <c r="V47" i="1"/>
  <c r="T47" i="1"/>
  <c r="V46" i="1"/>
  <c r="T46" i="1"/>
  <c r="V45" i="1"/>
  <c r="T45" i="1"/>
  <c r="V44" i="1"/>
  <c r="T44" i="1"/>
  <c r="V43" i="1"/>
  <c r="T43" i="1"/>
  <c r="V42" i="1"/>
  <c r="T42" i="1"/>
  <c r="V41" i="1"/>
  <c r="T41" i="1"/>
  <c r="V40" i="1"/>
  <c r="T40" i="1"/>
  <c r="V39" i="1"/>
  <c r="T39" i="1"/>
  <c r="V38" i="1"/>
  <c r="T38" i="1"/>
  <c r="V37" i="1"/>
  <c r="T37" i="1"/>
  <c r="V36" i="1"/>
  <c r="T36" i="1"/>
  <c r="V35" i="1"/>
  <c r="T35" i="1"/>
  <c r="V33" i="1"/>
  <c r="T33" i="1"/>
  <c r="V32" i="1"/>
  <c r="T32" i="1"/>
  <c r="V31" i="1"/>
  <c r="T31" i="1"/>
  <c r="V30" i="1"/>
  <c r="T30" i="1"/>
  <c r="V29" i="1"/>
  <c r="T29" i="1"/>
  <c r="V28" i="1"/>
  <c r="T28" i="1"/>
  <c r="V27" i="1"/>
  <c r="T27" i="1"/>
  <c r="V26" i="1"/>
  <c r="T26" i="1"/>
  <c r="V25" i="1"/>
  <c r="T25" i="1"/>
  <c r="V24" i="1"/>
  <c r="T24" i="1"/>
  <c r="V23" i="1"/>
  <c r="T23" i="1"/>
  <c r="V22" i="1"/>
  <c r="T22" i="1"/>
  <c r="V21" i="1"/>
  <c r="T21" i="1"/>
  <c r="V20" i="1"/>
  <c r="T20" i="1"/>
  <c r="V19" i="1"/>
  <c r="T19" i="1"/>
  <c r="V18" i="1"/>
  <c r="T18" i="1"/>
  <c r="V17" i="1"/>
  <c r="T17" i="1"/>
  <c r="V16" i="1"/>
  <c r="T16" i="1"/>
  <c r="V15" i="1"/>
  <c r="T15" i="1"/>
  <c r="V14" i="1"/>
  <c r="T14" i="1"/>
  <c r="V13" i="1"/>
  <c r="T13" i="1"/>
  <c r="V12" i="1"/>
  <c r="T12" i="1"/>
  <c r="V11" i="1"/>
  <c r="T11" i="1"/>
  <c r="V10" i="1"/>
  <c r="T10" i="1"/>
  <c r="AU48" i="1" l="1"/>
  <c r="AS48" i="1"/>
  <c r="AN48" i="1"/>
  <c r="AP48" i="1"/>
  <c r="AK48" i="1"/>
  <c r="AI48" i="1"/>
  <c r="AD48" i="1"/>
  <c r="AF48" i="1"/>
  <c r="Y48" i="1"/>
  <c r="AA48" i="1"/>
  <c r="T48" i="1"/>
  <c r="V48" i="1"/>
  <c r="P48" i="1" l="1"/>
  <c r="N48" i="1"/>
  <c r="M48" i="1"/>
  <c r="Q47" i="1"/>
  <c r="O47" i="1"/>
  <c r="Q46" i="1"/>
  <c r="O46" i="1"/>
  <c r="Q45" i="1"/>
  <c r="O45" i="1"/>
  <c r="Q44" i="1"/>
  <c r="O44" i="1"/>
  <c r="Q43" i="1"/>
  <c r="O43" i="1"/>
  <c r="Q42" i="1"/>
  <c r="O42" i="1"/>
  <c r="Q41" i="1"/>
  <c r="O41" i="1"/>
  <c r="Q40" i="1"/>
  <c r="O40" i="1"/>
  <c r="Q39" i="1"/>
  <c r="O39" i="1"/>
  <c r="Q38" i="1"/>
  <c r="O38" i="1"/>
  <c r="Q37" i="1"/>
  <c r="O37" i="1"/>
  <c r="Q36" i="1"/>
  <c r="O36" i="1"/>
  <c r="Q35" i="1"/>
  <c r="O35" i="1"/>
  <c r="Q33" i="1"/>
  <c r="O33" i="1"/>
  <c r="Q32" i="1"/>
  <c r="O32" i="1"/>
  <c r="Q31" i="1"/>
  <c r="O31" i="1"/>
  <c r="Q30" i="1"/>
  <c r="O30" i="1"/>
  <c r="Q29" i="1"/>
  <c r="O29" i="1"/>
  <c r="Q28" i="1"/>
  <c r="O28" i="1"/>
  <c r="Q27" i="1"/>
  <c r="O27" i="1"/>
  <c r="Q26" i="1"/>
  <c r="O26" i="1"/>
  <c r="Q25" i="1"/>
  <c r="O25" i="1"/>
  <c r="Q24" i="1"/>
  <c r="O24" i="1"/>
  <c r="Q23" i="1"/>
  <c r="O23" i="1"/>
  <c r="Q22" i="1"/>
  <c r="O22" i="1"/>
  <c r="Q21" i="1"/>
  <c r="O21" i="1"/>
  <c r="Q20" i="1"/>
  <c r="O20" i="1"/>
  <c r="Q19" i="1"/>
  <c r="O19" i="1"/>
  <c r="Q18" i="1"/>
  <c r="O18" i="1"/>
  <c r="Q17" i="1"/>
  <c r="O17" i="1"/>
  <c r="Q16" i="1"/>
  <c r="O16" i="1"/>
  <c r="Q15" i="1"/>
  <c r="O15" i="1"/>
  <c r="Q14" i="1"/>
  <c r="O14" i="1"/>
  <c r="Q13" i="1"/>
  <c r="O13" i="1"/>
  <c r="Q12" i="1"/>
  <c r="O12" i="1"/>
  <c r="Q11" i="1"/>
  <c r="O11" i="1"/>
  <c r="Q10" i="1"/>
  <c r="O10" i="1"/>
  <c r="Q48" i="1" l="1"/>
  <c r="O48" i="1"/>
  <c r="K48" i="1"/>
  <c r="I48" i="1"/>
  <c r="H48" i="1"/>
  <c r="L48" i="1" l="1"/>
  <c r="J48" i="1"/>
  <c r="F48" i="1" l="1"/>
  <c r="D48" i="1"/>
  <c r="C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48" i="1" l="1"/>
  <c r="E48" i="1"/>
  <c r="J45" i="1"/>
  <c r="L45" i="1"/>
  <c r="L23" i="1"/>
  <c r="J23" i="1"/>
  <c r="L41" i="1"/>
  <c r="J41" i="1"/>
  <c r="J12" i="1"/>
  <c r="L12" i="1"/>
  <c r="L46" i="1"/>
  <c r="J46" i="1"/>
  <c r="L10" i="1"/>
  <c r="J10" i="1"/>
  <c r="L16" i="1"/>
  <c r="J16" i="1"/>
  <c r="J42" i="1"/>
  <c r="L42" i="1"/>
  <c r="J14" i="1"/>
  <c r="L14" i="1"/>
  <c r="L40" i="1"/>
  <c r="J40" i="1"/>
  <c r="L25" i="1"/>
  <c r="J25" i="1"/>
  <c r="L43" i="1"/>
  <c r="J43" i="1"/>
  <c r="L31" i="1"/>
  <c r="J31" i="1"/>
  <c r="L17" i="1"/>
  <c r="J17" i="1"/>
  <c r="L33" i="1"/>
  <c r="J33" i="1"/>
  <c r="J32" i="1"/>
  <c r="L32" i="1"/>
  <c r="L39" i="1"/>
  <c r="J39" i="1"/>
  <c r="L22" i="1"/>
  <c r="J22" i="1"/>
  <c r="L38" i="1"/>
  <c r="J38" i="1"/>
  <c r="L29" i="1"/>
  <c r="J29" i="1"/>
  <c r="L28" i="1"/>
  <c r="J28" i="1"/>
  <c r="J30" i="1"/>
  <c r="L30" i="1"/>
  <c r="L47" i="1"/>
  <c r="J47" i="1"/>
  <c r="J36" i="1"/>
  <c r="L36" i="1"/>
  <c r="L19" i="1"/>
  <c r="J19" i="1"/>
  <c r="L26" i="1"/>
  <c r="J26" i="1"/>
  <c r="J15" i="1"/>
  <c r="L15" i="1"/>
  <c r="J44" i="1"/>
  <c r="L44" i="1"/>
  <c r="J27" i="1"/>
  <c r="L27" i="1"/>
  <c r="J11" i="1"/>
  <c r="L11" i="1"/>
  <c r="J37" i="1"/>
  <c r="L37" i="1"/>
  <c r="J13" i="1"/>
  <c r="L13" i="1"/>
  <c r="L20" i="1"/>
  <c r="J20" i="1"/>
  <c r="J35" i="1"/>
  <c r="L35" i="1"/>
  <c r="J18" i="1"/>
  <c r="L18" i="1"/>
  <c r="J21" i="1"/>
  <c r="L21" i="1"/>
  <c r="L24" i="1"/>
  <c r="J24" i="1"/>
</calcChain>
</file>

<file path=xl/sharedStrings.xml><?xml version="1.0" encoding="utf-8"?>
<sst xmlns="http://schemas.openxmlformats.org/spreadsheetml/2006/main" count="108" uniqueCount="51">
  <si>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</si>
  <si>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</si>
  <si>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</si>
  <si>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</si>
  <si>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</si>
  <si>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</si>
  <si>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</si>
  <si>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</si>
  <si>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</si>
  <si>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</si>
  <si>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</si>
  <si>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</si>
  <si>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</si>
  <si>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</si>
  <si>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</si>
  <si>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</si>
  <si>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</si>
  <si>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</si>
  <si>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</si>
  <si>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</si>
  <si>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</si>
  <si>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</si>
  <si>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</si>
  <si>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</si>
  <si>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</si>
  <si>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</si>
  <si>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</si>
  <si>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</si>
  <si>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</si>
  <si>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</si>
  <si>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</si>
  <si>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</si>
  <si>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</si>
  <si>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</si>
  <si>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</si>
  <si>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</si>
  <si>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</si>
  <si>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</si>
  <si>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</si>
  <si>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</si>
  <si>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</si>
  <si>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Andhra Pradesh</t>
  </si>
  <si>
    <t>Ladakh</t>
  </si>
  <si>
    <t>Other Territory</t>
  </si>
  <si>
    <t>Total</t>
  </si>
  <si>
    <t>*  State Code 97 represents  territories other than States/UTs</t>
  </si>
  <si>
    <t>STATE WISE RETURN PERIOD WISE GSTR-3B FILING SUMMARY</t>
  </si>
  <si>
    <t>-</t>
  </si>
  <si>
    <t>FINANCIAL YEAR 2025-2026</t>
  </si>
  <si>
    <t>Data Considered upto 31st Jan 2026</t>
  </si>
  <si>
    <t>Filing %age as on 31st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</si>
</sst>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165" fontId="3" fillId="3" borderId="1" xfId="0" applyNumberFormat="1" applyFont="1" applyFill="1" applyBorder="1"/>
    <xf numFmtId="10" fontId="3" fillId="3" borderId="1" xfId="1" applyNumberFormat="1" applyFont="1" applyFill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165" fontId="7" fillId="4" borderId="1" xfId="0" applyNumberFormat="1" applyFont="1" applyFill="1" applyBorder="1"/>
    <xf numFmtId="10" fontId="7" fillId="4" borderId="1" xfId="1" applyNumberFormat="1" applyFont="1" applyFill="1" applyBorder="1"/>
    <xf numFmtId="165" fontId="1" fillId="0" borderId="1" xfId="0" applyNumberFormat="1" applyFont="1" applyBorder="1"/>
    <xf numFmtId="166" fontId="0" fillId="0" borderId="1" xfId="1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0" xfId="0" applyFont="1" applyFill="1"/>
    <xf numFmtId="165" fontId="3" fillId="0" borderId="1" xfId="0" applyNumberFormat="1" applyFont="1" applyBorder="1"/>
    <xf numFmtId="10" fontId="3" fillId="0" borderId="1" xfId="1" applyNumberFormat="1" applyFont="1" applyFill="1" applyBorder="1"/>
    <xf numFmtId="0" fontId="2" fillId="2" borderId="0" xfId="0" applyFont="1" applyFill="1"/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1">
    <cellStyle name="Comma" xfId="10" builtinId="3"/>
    <cellStyle name="Comma 2" xfId="2" xr:uid="{00000000-0005-0000-0000-000001000000}"/>
    <cellStyle name="Comma 2 2" xfId="8" xr:uid="{00000000-0005-0000-0000-000002000000}"/>
    <cellStyle name="Comma 2 3" xfId="5" xr:uid="{00000000-0005-0000-0000-000003000000}"/>
    <cellStyle name="Comma 3" xfId="7" xr:uid="{00000000-0005-0000-0000-000004000000}"/>
    <cellStyle name="Normal" xfId="0" builtinId="0"/>
    <cellStyle name="Normal 2" xfId="6" xr:uid="{00000000-0005-0000-0000-000006000000}"/>
    <cellStyle name="Normal 2 2" xfId="9" xr:uid="{00000000-0005-0000-0000-000007000000}"/>
    <cellStyle name="Normal 3" xfId="3" xr:uid="{00000000-0005-0000-0000-000008000000}"/>
    <cellStyle name="Percent" xfId="1" builtinId="5"/>
    <cellStyle name="Percent 2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59"/>
  <sheetViews>
    <sheetView tabSelected="1" zoomScale="56" zoomScaleNormal="70" workbookViewId="0">
      <selection activeCell="B47" sqref="B47"/>
    </sheetView>
  </sheetViews>
  <sheetFormatPr defaultColWidth="8.77734375" defaultRowHeight="14.4" x14ac:dyDescent="0.3"/>
  <cols>
    <col min="1" max="1" width="11.109375" customWidth="1"/>
    <col min="2" max="2" width="29.77734375" customWidth="1"/>
    <col min="3" max="31" width="18.44140625" customWidth="1"/>
    <col min="32" max="47" width="19" customWidth="1"/>
  </cols>
  <sheetData>
    <row r="1" spans="1:47" ht="15.6" x14ac:dyDescent="0.3">
      <c r="A1" s="22" t="s">
        <v>46</v>
      </c>
      <c r="B1" s="22"/>
      <c r="C1" s="22"/>
      <c r="D1" s="22"/>
      <c r="E1" s="2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47" ht="15.6" x14ac:dyDescent="0.3">
      <c r="A3" s="26" t="s">
        <v>48</v>
      </c>
      <c r="B3" s="2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47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47" ht="15.6" x14ac:dyDescent="0.3">
      <c r="A5" s="22" t="s">
        <v>49</v>
      </c>
      <c r="B5" s="22"/>
      <c r="C5" s="2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47" ht="15.6" x14ac:dyDescent="0.3">
      <c r="A6" s="1"/>
      <c r="B6" s="1"/>
      <c r="C6" s="1"/>
      <c r="D6" s="2"/>
      <c r="E6" s="2"/>
      <c r="F6" s="2"/>
      <c r="G6" s="2"/>
      <c r="H6" s="1"/>
      <c r="I6" s="2"/>
      <c r="J6" s="2"/>
      <c r="K6" s="2"/>
      <c r="L6" s="2"/>
      <c r="M6" s="1"/>
      <c r="N6" s="2"/>
      <c r="O6" s="2"/>
      <c r="P6" s="2"/>
      <c r="Q6" s="2"/>
      <c r="R6" s="1"/>
      <c r="S6" s="2"/>
      <c r="T6" s="2"/>
      <c r="U6" s="2"/>
      <c r="V6" s="2"/>
      <c r="W6" s="1"/>
      <c r="X6" s="2"/>
      <c r="Y6" s="2"/>
      <c r="Z6" s="2"/>
      <c r="AA6" s="2"/>
      <c r="AB6" s="1"/>
      <c r="AC6" s="2"/>
      <c r="AD6" s="2"/>
      <c r="AE6" s="2"/>
      <c r="AF6" s="2"/>
    </row>
    <row r="7" spans="1:4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47" s="15" customFormat="1" ht="15.6" x14ac:dyDescent="0.3">
      <c r="A8" s="28" t="s">
        <v>0</v>
      </c>
      <c r="B8" s="29" t="s">
        <v>1</v>
      </c>
      <c r="C8" s="23">
        <v>45748</v>
      </c>
      <c r="D8" s="24"/>
      <c r="E8" s="24"/>
      <c r="F8" s="24"/>
      <c r="G8" s="25"/>
      <c r="H8" s="23">
        <v>45778</v>
      </c>
      <c r="I8" s="24"/>
      <c r="J8" s="24"/>
      <c r="K8" s="24"/>
      <c r="L8" s="25"/>
      <c r="M8" s="23">
        <v>45809</v>
      </c>
      <c r="N8" s="24"/>
      <c r="O8" s="24"/>
      <c r="P8" s="24"/>
      <c r="Q8" s="25"/>
      <c r="R8" s="23">
        <v>45839</v>
      </c>
      <c r="S8" s="24"/>
      <c r="T8" s="24"/>
      <c r="U8" s="24"/>
      <c r="V8" s="25"/>
      <c r="W8" s="23">
        <v>45870</v>
      </c>
      <c r="X8" s="24"/>
      <c r="Y8" s="24"/>
      <c r="Z8" s="24"/>
      <c r="AA8" s="25"/>
      <c r="AB8" s="23">
        <v>45901</v>
      </c>
      <c r="AC8" s="24"/>
      <c r="AD8" s="24"/>
      <c r="AE8" s="24"/>
      <c r="AF8" s="25"/>
      <c r="AG8" s="23">
        <v>45931</v>
      </c>
      <c r="AH8" s="24"/>
      <c r="AI8" s="24"/>
      <c r="AJ8" s="24"/>
      <c r="AK8" s="25"/>
      <c r="AL8" s="23">
        <v>45962</v>
      </c>
      <c r="AM8" s="24"/>
      <c r="AN8" s="24"/>
      <c r="AO8" s="24"/>
      <c r="AP8" s="25"/>
      <c r="AQ8" s="23">
        <v>45992</v>
      </c>
      <c r="AR8" s="24"/>
      <c r="AS8" s="24"/>
      <c r="AT8" s="24"/>
      <c r="AU8" s="25"/>
    </row>
    <row r="9" spans="1:47" s="15" customFormat="1" ht="46.8" x14ac:dyDescent="0.3">
      <c r="A9" s="28"/>
      <c r="B9" s="29"/>
      <c r="C9" s="16" t="s">
        <v>2</v>
      </c>
      <c r="D9" s="16" t="s">
        <v>3</v>
      </c>
      <c r="E9" s="16" t="s">
        <v>4</v>
      </c>
      <c r="F9" s="8" t="s">
        <v>5</v>
      </c>
      <c r="G9" s="16" t="s">
        <v>50</v>
      </c>
      <c r="H9" s="16" t="s">
        <v>2</v>
      </c>
      <c r="I9" s="16" t="s">
        <v>3</v>
      </c>
      <c r="J9" s="16" t="s">
        <v>4</v>
      </c>
      <c r="K9" s="8" t="s">
        <v>5</v>
      </c>
      <c r="L9" s="16" t="s">
        <v>50</v>
      </c>
      <c r="M9" s="16" t="s">
        <v>2</v>
      </c>
      <c r="N9" s="16" t="s">
        <v>3</v>
      </c>
      <c r="O9" s="16" t="s">
        <v>4</v>
      </c>
      <c r="P9" s="8" t="s">
        <v>5</v>
      </c>
      <c r="Q9" s="16" t="s">
        <v>50</v>
      </c>
      <c r="R9" s="16" t="s">
        <v>2</v>
      </c>
      <c r="S9" s="16" t="s">
        <v>3</v>
      </c>
      <c r="T9" s="16" t="s">
        <v>4</v>
      </c>
      <c r="U9" s="8" t="s">
        <v>5</v>
      </c>
      <c r="V9" s="16" t="s">
        <v>50</v>
      </c>
      <c r="W9" s="16" t="s">
        <v>2</v>
      </c>
      <c r="X9" s="16" t="s">
        <v>3</v>
      </c>
      <c r="Y9" s="16" t="s">
        <v>4</v>
      </c>
      <c r="Z9" s="8" t="s">
        <v>5</v>
      </c>
      <c r="AA9" s="16" t="s">
        <v>50</v>
      </c>
      <c r="AB9" s="16" t="s">
        <v>2</v>
      </c>
      <c r="AC9" s="16" t="s">
        <v>3</v>
      </c>
      <c r="AD9" s="16" t="s">
        <v>4</v>
      </c>
      <c r="AE9" s="8" t="s">
        <v>5</v>
      </c>
      <c r="AF9" s="16" t="s">
        <v>50</v>
      </c>
      <c r="AG9" s="16" t="s">
        <v>2</v>
      </c>
      <c r="AH9" s="16" t="s">
        <v>3</v>
      </c>
      <c r="AI9" s="16" t="s">
        <v>4</v>
      </c>
      <c r="AJ9" s="8" t="s">
        <v>5</v>
      </c>
      <c r="AK9" s="16" t="s">
        <v>50</v>
      </c>
      <c r="AL9" s="16" t="s">
        <v>2</v>
      </c>
      <c r="AM9" s="16" t="s">
        <v>3</v>
      </c>
      <c r="AN9" s="16" t="s">
        <v>4</v>
      </c>
      <c r="AO9" s="8" t="s">
        <v>5</v>
      </c>
      <c r="AP9" s="16" t="s">
        <v>50</v>
      </c>
      <c r="AQ9" s="16" t="s">
        <v>2</v>
      </c>
      <c r="AR9" s="16" t="s">
        <v>3</v>
      </c>
      <c r="AS9" s="16" t="s">
        <v>4</v>
      </c>
      <c r="AT9" s="8" t="s">
        <v>5</v>
      </c>
      <c r="AU9" s="16" t="s">
        <v>50</v>
      </c>
    </row>
    <row r="10" spans="1:47" x14ac:dyDescent="0.3">
      <c r="A10" s="17">
        <v>1</v>
      </c>
      <c r="B10" s="3" t="s">
        <v>6</v>
      </c>
      <c r="C10" s="7">
        <v>74189</v>
      </c>
      <c r="D10" s="6">
        <v>59232</v>
      </c>
      <c r="E10" s="4">
        <f>F10-D10</f>
        <v>14882</v>
      </c>
      <c r="F10" s="13">
        <v>74114</v>
      </c>
      <c r="G10" s="5">
        <f>F10/C10</f>
        <v>0.9989890684602839</v>
      </c>
      <c r="H10" s="7">
        <v>75899</v>
      </c>
      <c r="I10" s="6">
        <v>60084</v>
      </c>
      <c r="J10" s="4">
        <f>K10-I10</f>
        <v>14689</v>
      </c>
      <c r="K10" s="13">
        <v>74773</v>
      </c>
      <c r="L10" s="5">
        <f>K10/H10</f>
        <v>0.98516449492088165</v>
      </c>
      <c r="M10" s="7">
        <v>134494</v>
      </c>
      <c r="N10" s="6">
        <v>107836</v>
      </c>
      <c r="O10" s="4">
        <f>P10-N10</f>
        <v>25687</v>
      </c>
      <c r="P10" s="13">
        <v>133523</v>
      </c>
      <c r="Q10" s="5">
        <f>P10/M10</f>
        <v>0.99278034707868013</v>
      </c>
      <c r="R10" s="7">
        <v>73914</v>
      </c>
      <c r="S10" s="6">
        <v>59856</v>
      </c>
      <c r="T10" s="4">
        <f>U10-S10</f>
        <v>13508</v>
      </c>
      <c r="U10" s="13">
        <v>73364</v>
      </c>
      <c r="V10" s="5">
        <f>U10/R10</f>
        <v>0.9925589198257434</v>
      </c>
      <c r="W10" s="7">
        <v>75592</v>
      </c>
      <c r="X10" s="6">
        <v>60683</v>
      </c>
      <c r="Y10" s="4">
        <f>Z10-X10</f>
        <v>13412</v>
      </c>
      <c r="Z10" s="13">
        <v>74095</v>
      </c>
      <c r="AA10" s="5">
        <f>Z10/W10</f>
        <v>0.98019631707058952</v>
      </c>
      <c r="AB10" s="7">
        <v>136558</v>
      </c>
      <c r="AC10" s="6">
        <v>111852</v>
      </c>
      <c r="AD10" s="4">
        <f>AE10-AC10</f>
        <v>22178</v>
      </c>
      <c r="AE10" s="13">
        <v>134030</v>
      </c>
      <c r="AF10" s="5">
        <f>AE10/AB10</f>
        <v>0.98148771950380054</v>
      </c>
      <c r="AG10" s="7">
        <v>73704</v>
      </c>
      <c r="AH10" s="6">
        <v>59412</v>
      </c>
      <c r="AI10" s="4">
        <f>AJ10-AH10</f>
        <v>12826</v>
      </c>
      <c r="AJ10" s="13">
        <v>72238</v>
      </c>
      <c r="AK10" s="5">
        <f>AJ10/AG10</f>
        <v>0.98010962769998911</v>
      </c>
      <c r="AL10" s="7">
        <v>75897</v>
      </c>
      <c r="AM10" s="6">
        <v>63195</v>
      </c>
      <c r="AN10" s="4">
        <f>AO10-AM10</f>
        <v>10770</v>
      </c>
      <c r="AO10" s="13">
        <v>73965</v>
      </c>
      <c r="AP10" s="5">
        <f>AO10/AL10</f>
        <v>0.9745444483971698</v>
      </c>
      <c r="AQ10" s="7">
        <v>140117</v>
      </c>
      <c r="AR10" s="6">
        <v>114958</v>
      </c>
      <c r="AS10" s="4">
        <f>AT10-AR10</f>
        <v>15050</v>
      </c>
      <c r="AT10" s="13">
        <v>130008</v>
      </c>
      <c r="AU10" s="5">
        <f>AT10/AQ10</f>
        <v>0.92785315129498924</v>
      </c>
    </row>
    <row r="11" spans="1:47" x14ac:dyDescent="0.3">
      <c r="A11" s="17">
        <v>2</v>
      </c>
      <c r="B11" s="3" t="s">
        <v>7</v>
      </c>
      <c r="C11" s="7">
        <v>47835</v>
      </c>
      <c r="D11" s="6">
        <v>39146</v>
      </c>
      <c r="E11" s="4">
        <f t="shared" ref="E11:E33" si="0">F11-D11</f>
        <v>8478</v>
      </c>
      <c r="F11" s="13">
        <v>47624</v>
      </c>
      <c r="G11" s="5">
        <f t="shared" ref="G11:G33" si="1">F11/C11</f>
        <v>0.99558900386746108</v>
      </c>
      <c r="H11" s="7">
        <v>49123</v>
      </c>
      <c r="I11" s="6">
        <v>39986</v>
      </c>
      <c r="J11" s="4">
        <f t="shared" ref="J11:J33" si="2">K11-I11</f>
        <v>8125</v>
      </c>
      <c r="K11" s="13">
        <v>48111</v>
      </c>
      <c r="L11" s="5">
        <f t="shared" ref="L11:L33" si="3">K11/H11</f>
        <v>0.97939865236243717</v>
      </c>
      <c r="M11" s="7">
        <v>111861</v>
      </c>
      <c r="N11" s="6">
        <v>92189</v>
      </c>
      <c r="O11" s="4">
        <f t="shared" ref="O11:O33" si="4">P11-N11</f>
        <v>18474</v>
      </c>
      <c r="P11" s="13">
        <v>110663</v>
      </c>
      <c r="Q11" s="5">
        <f t="shared" ref="Q11:Q33" si="5">P11/M11</f>
        <v>0.98929027990094853</v>
      </c>
      <c r="R11" s="7">
        <v>47958</v>
      </c>
      <c r="S11" s="6">
        <v>39594</v>
      </c>
      <c r="T11" s="4">
        <f t="shared" ref="T11:T33" si="6">U11-S11</f>
        <v>7781</v>
      </c>
      <c r="U11" s="13">
        <v>47375</v>
      </c>
      <c r="V11" s="5">
        <f t="shared" ref="V11:V33" si="7">U11/R11</f>
        <v>0.98784352975520251</v>
      </c>
      <c r="W11" s="7">
        <v>49731</v>
      </c>
      <c r="X11" s="6">
        <v>40202</v>
      </c>
      <c r="Y11" s="4">
        <f t="shared" ref="Y11:Y33" si="8">Z11-X11</f>
        <v>7633</v>
      </c>
      <c r="Z11" s="13">
        <v>47835</v>
      </c>
      <c r="AA11" s="5">
        <f t="shared" ref="AA11:AA33" si="9">Z11/W11</f>
        <v>0.96187488689147616</v>
      </c>
      <c r="AB11" s="7">
        <v>113134</v>
      </c>
      <c r="AC11" s="6">
        <v>92380</v>
      </c>
      <c r="AD11" s="4">
        <f t="shared" ref="AD11:AD33" si="10">AE11-AC11</f>
        <v>17900</v>
      </c>
      <c r="AE11" s="13">
        <v>110280</v>
      </c>
      <c r="AF11" s="5">
        <f t="shared" ref="AF11:AF33" si="11">AE11/AB11</f>
        <v>0.97477327770608302</v>
      </c>
      <c r="AG11" s="7">
        <v>48119</v>
      </c>
      <c r="AH11" s="6">
        <v>39872</v>
      </c>
      <c r="AI11" s="4">
        <f t="shared" ref="AI11:AI33" si="12">AJ11-AH11</f>
        <v>6938</v>
      </c>
      <c r="AJ11" s="13">
        <v>46810</v>
      </c>
      <c r="AK11" s="5">
        <f t="shared" ref="AK11:AK33" si="13">AJ11/AG11</f>
        <v>0.97279660840832105</v>
      </c>
      <c r="AL11" s="7">
        <v>49938</v>
      </c>
      <c r="AM11" s="6">
        <v>41686</v>
      </c>
      <c r="AN11" s="4">
        <f t="shared" ref="AN11:AN33" si="14">AO11-AM11</f>
        <v>5892</v>
      </c>
      <c r="AO11" s="13">
        <v>47578</v>
      </c>
      <c r="AP11" s="5">
        <f t="shared" ref="AP11:AP33" si="15">AO11/AL11</f>
        <v>0.95274139933517565</v>
      </c>
      <c r="AQ11" s="7">
        <v>114343</v>
      </c>
      <c r="AR11" s="6">
        <v>97739</v>
      </c>
      <c r="AS11" s="4">
        <f t="shared" ref="AS11:AS33" si="16">AT11-AR11</f>
        <v>8352</v>
      </c>
      <c r="AT11" s="13">
        <v>106091</v>
      </c>
      <c r="AU11" s="5">
        <f t="shared" ref="AU11:AU33" si="17">AT11/AQ11</f>
        <v>0.92783117462371989</v>
      </c>
    </row>
    <row r="12" spans="1:47" x14ac:dyDescent="0.3">
      <c r="A12" s="17">
        <v>3</v>
      </c>
      <c r="B12" s="3" t="s">
        <v>8</v>
      </c>
      <c r="C12" s="7">
        <v>182748</v>
      </c>
      <c r="D12" s="6">
        <v>152973</v>
      </c>
      <c r="E12" s="4">
        <f t="shared" si="0"/>
        <v>28952</v>
      </c>
      <c r="F12" s="13">
        <v>181925</v>
      </c>
      <c r="G12" s="5">
        <f t="shared" si="1"/>
        <v>0.99549653074178646</v>
      </c>
      <c r="H12" s="7">
        <v>186824</v>
      </c>
      <c r="I12" s="6">
        <v>158115</v>
      </c>
      <c r="J12" s="4">
        <f t="shared" si="2"/>
        <v>26143</v>
      </c>
      <c r="K12" s="13">
        <v>184258</v>
      </c>
      <c r="L12" s="5">
        <f t="shared" si="3"/>
        <v>0.98626514794673059</v>
      </c>
      <c r="M12" s="7">
        <v>372375</v>
      </c>
      <c r="N12" s="6">
        <v>309614</v>
      </c>
      <c r="O12" s="4">
        <f t="shared" si="4"/>
        <v>59804</v>
      </c>
      <c r="P12" s="13">
        <v>369418</v>
      </c>
      <c r="Q12" s="5">
        <f t="shared" si="5"/>
        <v>0.9920590802282645</v>
      </c>
      <c r="R12" s="7">
        <v>184659</v>
      </c>
      <c r="S12" s="6">
        <v>155344</v>
      </c>
      <c r="T12" s="4">
        <f t="shared" si="6"/>
        <v>27480</v>
      </c>
      <c r="U12" s="13">
        <v>182824</v>
      </c>
      <c r="V12" s="5">
        <f t="shared" si="7"/>
        <v>0.99006276433859164</v>
      </c>
      <c r="W12" s="7">
        <v>189081</v>
      </c>
      <c r="X12" s="6">
        <v>155917</v>
      </c>
      <c r="Y12" s="4">
        <f t="shared" si="8"/>
        <v>28450</v>
      </c>
      <c r="Z12" s="13">
        <v>184367</v>
      </c>
      <c r="AA12" s="5">
        <f t="shared" si="9"/>
        <v>0.97506888582142048</v>
      </c>
      <c r="AB12" s="7">
        <v>377441</v>
      </c>
      <c r="AC12" s="6">
        <v>308621</v>
      </c>
      <c r="AD12" s="4">
        <f t="shared" si="10"/>
        <v>60176</v>
      </c>
      <c r="AE12" s="13">
        <v>368797</v>
      </c>
      <c r="AF12" s="5">
        <f t="shared" si="11"/>
        <v>0.97709840743321474</v>
      </c>
      <c r="AG12" s="7">
        <v>186148</v>
      </c>
      <c r="AH12" s="6">
        <v>156441</v>
      </c>
      <c r="AI12" s="4">
        <f t="shared" si="12"/>
        <v>25682</v>
      </c>
      <c r="AJ12" s="13">
        <v>182123</v>
      </c>
      <c r="AK12" s="5">
        <f t="shared" si="13"/>
        <v>0.97837742011732598</v>
      </c>
      <c r="AL12" s="7">
        <v>192239</v>
      </c>
      <c r="AM12" s="6">
        <v>164253</v>
      </c>
      <c r="AN12" s="4">
        <f t="shared" si="14"/>
        <v>22242</v>
      </c>
      <c r="AO12" s="13">
        <v>186495</v>
      </c>
      <c r="AP12" s="5">
        <f t="shared" si="15"/>
        <v>0.97012052705226304</v>
      </c>
      <c r="AQ12" s="7">
        <v>384779</v>
      </c>
      <c r="AR12" s="6">
        <v>322202</v>
      </c>
      <c r="AS12" s="4">
        <f t="shared" si="16"/>
        <v>33974</v>
      </c>
      <c r="AT12" s="13">
        <v>356176</v>
      </c>
      <c r="AU12" s="5">
        <f t="shared" si="17"/>
        <v>0.9256638226098618</v>
      </c>
    </row>
    <row r="13" spans="1:47" x14ac:dyDescent="0.3">
      <c r="A13" s="17">
        <v>4</v>
      </c>
      <c r="B13" s="3" t="s">
        <v>9</v>
      </c>
      <c r="C13" s="7">
        <v>18035</v>
      </c>
      <c r="D13" s="6">
        <v>15177</v>
      </c>
      <c r="E13" s="4">
        <f t="shared" si="0"/>
        <v>2862</v>
      </c>
      <c r="F13" s="13">
        <v>18039</v>
      </c>
      <c r="G13" s="5">
        <f t="shared" si="1"/>
        <v>1.0002217909620184</v>
      </c>
      <c r="H13" s="7">
        <v>18257</v>
      </c>
      <c r="I13" s="6">
        <v>15478</v>
      </c>
      <c r="J13" s="4">
        <f t="shared" si="2"/>
        <v>2586</v>
      </c>
      <c r="K13" s="13">
        <v>18064</v>
      </c>
      <c r="L13" s="5">
        <f t="shared" si="3"/>
        <v>0.98942871227474394</v>
      </c>
      <c r="M13" s="7">
        <v>29011</v>
      </c>
      <c r="N13" s="6">
        <v>23994</v>
      </c>
      <c r="O13" s="4">
        <f t="shared" si="4"/>
        <v>4890</v>
      </c>
      <c r="P13" s="13">
        <v>28884</v>
      </c>
      <c r="Q13" s="5">
        <f t="shared" si="5"/>
        <v>0.99562235014304923</v>
      </c>
      <c r="R13" s="7">
        <v>18140</v>
      </c>
      <c r="S13" s="6">
        <v>15367</v>
      </c>
      <c r="T13" s="4">
        <f t="shared" si="6"/>
        <v>2700</v>
      </c>
      <c r="U13" s="13">
        <v>18067</v>
      </c>
      <c r="V13" s="5">
        <f t="shared" si="7"/>
        <v>0.99597574421168689</v>
      </c>
      <c r="W13" s="7">
        <v>18401</v>
      </c>
      <c r="X13" s="6">
        <v>15431</v>
      </c>
      <c r="Y13" s="4">
        <f t="shared" si="8"/>
        <v>2650</v>
      </c>
      <c r="Z13" s="13">
        <v>18081</v>
      </c>
      <c r="AA13" s="5">
        <f t="shared" si="9"/>
        <v>0.98260964078039237</v>
      </c>
      <c r="AB13" s="7">
        <v>29242</v>
      </c>
      <c r="AC13" s="6">
        <v>24363</v>
      </c>
      <c r="AD13" s="4">
        <f t="shared" si="10"/>
        <v>4360</v>
      </c>
      <c r="AE13" s="13">
        <v>28723</v>
      </c>
      <c r="AF13" s="5">
        <f t="shared" si="11"/>
        <v>0.98225155598112301</v>
      </c>
      <c r="AG13" s="7">
        <v>18261</v>
      </c>
      <c r="AH13" s="6">
        <v>15707</v>
      </c>
      <c r="AI13" s="4">
        <f t="shared" si="12"/>
        <v>2350</v>
      </c>
      <c r="AJ13" s="13">
        <v>18057</v>
      </c>
      <c r="AK13" s="5">
        <f t="shared" si="13"/>
        <v>0.98882865122391983</v>
      </c>
      <c r="AL13" s="7">
        <v>18637</v>
      </c>
      <c r="AM13" s="6">
        <v>16162</v>
      </c>
      <c r="AN13" s="4">
        <f t="shared" si="14"/>
        <v>2014</v>
      </c>
      <c r="AO13" s="13">
        <v>18176</v>
      </c>
      <c r="AP13" s="5">
        <f t="shared" si="15"/>
        <v>0.97526425926919569</v>
      </c>
      <c r="AQ13" s="7">
        <v>29668</v>
      </c>
      <c r="AR13" s="6">
        <v>25476</v>
      </c>
      <c r="AS13" s="4">
        <f t="shared" si="16"/>
        <v>2036</v>
      </c>
      <c r="AT13" s="13">
        <v>27512</v>
      </c>
      <c r="AU13" s="5">
        <f t="shared" si="17"/>
        <v>0.92732910880409869</v>
      </c>
    </row>
    <row r="14" spans="1:47" x14ac:dyDescent="0.3">
      <c r="A14" s="17">
        <v>5</v>
      </c>
      <c r="B14" s="3" t="s">
        <v>10</v>
      </c>
      <c r="C14" s="7">
        <v>94613</v>
      </c>
      <c r="D14" s="6">
        <v>76148</v>
      </c>
      <c r="E14" s="4">
        <f t="shared" si="0"/>
        <v>19082</v>
      </c>
      <c r="F14" s="13">
        <v>95230</v>
      </c>
      <c r="G14" s="5">
        <f t="shared" si="1"/>
        <v>1.0065213025694144</v>
      </c>
      <c r="H14" s="7">
        <v>97351</v>
      </c>
      <c r="I14" s="6">
        <v>78426</v>
      </c>
      <c r="J14" s="4">
        <f t="shared" si="2"/>
        <v>18560</v>
      </c>
      <c r="K14" s="13">
        <v>96986</v>
      </c>
      <c r="L14" s="5">
        <f t="shared" si="3"/>
        <v>0.99625068052716459</v>
      </c>
      <c r="M14" s="7">
        <v>172809</v>
      </c>
      <c r="N14" s="6">
        <v>136763</v>
      </c>
      <c r="O14" s="4">
        <f t="shared" si="4"/>
        <v>34868</v>
      </c>
      <c r="P14" s="13">
        <v>171631</v>
      </c>
      <c r="Q14" s="5">
        <f t="shared" si="5"/>
        <v>0.99318322541071358</v>
      </c>
      <c r="R14" s="7">
        <v>97326</v>
      </c>
      <c r="S14" s="6">
        <v>78853</v>
      </c>
      <c r="T14" s="4">
        <f t="shared" si="6"/>
        <v>17351</v>
      </c>
      <c r="U14" s="13">
        <v>96204</v>
      </c>
      <c r="V14" s="5">
        <f t="shared" si="7"/>
        <v>0.98847173417175271</v>
      </c>
      <c r="W14" s="7">
        <v>98912</v>
      </c>
      <c r="X14" s="6">
        <v>80279</v>
      </c>
      <c r="Y14" s="4">
        <f t="shared" si="8"/>
        <v>16678</v>
      </c>
      <c r="Z14" s="13">
        <v>96957</v>
      </c>
      <c r="AA14" s="5">
        <f t="shared" si="9"/>
        <v>0.98023495632481394</v>
      </c>
      <c r="AB14" s="7">
        <v>175426</v>
      </c>
      <c r="AC14" s="6">
        <v>140708</v>
      </c>
      <c r="AD14" s="4">
        <f t="shared" si="10"/>
        <v>31237</v>
      </c>
      <c r="AE14" s="13">
        <v>171945</v>
      </c>
      <c r="AF14" s="5">
        <f t="shared" si="11"/>
        <v>0.98015687526364392</v>
      </c>
      <c r="AG14" s="7">
        <v>98057</v>
      </c>
      <c r="AH14" s="6">
        <v>79598</v>
      </c>
      <c r="AI14" s="4">
        <f t="shared" si="12"/>
        <v>16552</v>
      </c>
      <c r="AJ14" s="13">
        <v>96150</v>
      </c>
      <c r="AK14" s="5">
        <f t="shared" si="13"/>
        <v>0.98055212784400914</v>
      </c>
      <c r="AL14" s="7">
        <v>101581</v>
      </c>
      <c r="AM14" s="6">
        <v>84679</v>
      </c>
      <c r="AN14" s="4">
        <f t="shared" si="14"/>
        <v>14585</v>
      </c>
      <c r="AO14" s="13">
        <v>99264</v>
      </c>
      <c r="AP14" s="5">
        <f t="shared" si="15"/>
        <v>0.97719061635542082</v>
      </c>
      <c r="AQ14" s="7">
        <v>182247</v>
      </c>
      <c r="AR14" s="6">
        <v>150894</v>
      </c>
      <c r="AS14" s="4">
        <f t="shared" si="16"/>
        <v>16044</v>
      </c>
      <c r="AT14" s="13">
        <v>166938</v>
      </c>
      <c r="AU14" s="5">
        <f t="shared" si="17"/>
        <v>0.91599861726118947</v>
      </c>
    </row>
    <row r="15" spans="1:47" x14ac:dyDescent="0.3">
      <c r="A15" s="17">
        <v>6</v>
      </c>
      <c r="B15" s="3" t="s">
        <v>11</v>
      </c>
      <c r="C15" s="7">
        <v>324796</v>
      </c>
      <c r="D15" s="6">
        <v>269173</v>
      </c>
      <c r="E15" s="4">
        <f t="shared" si="0"/>
        <v>54788</v>
      </c>
      <c r="F15" s="13">
        <v>323961</v>
      </c>
      <c r="G15" s="5">
        <f t="shared" si="1"/>
        <v>0.99742915553147204</v>
      </c>
      <c r="H15" s="7">
        <v>331968</v>
      </c>
      <c r="I15" s="6">
        <v>277363</v>
      </c>
      <c r="J15" s="4">
        <f t="shared" si="2"/>
        <v>51611</v>
      </c>
      <c r="K15" s="13">
        <v>328974</v>
      </c>
      <c r="L15" s="5">
        <f t="shared" si="3"/>
        <v>0.99098105841526896</v>
      </c>
      <c r="M15" s="7">
        <v>549212</v>
      </c>
      <c r="N15" s="6">
        <v>453936</v>
      </c>
      <c r="O15" s="4">
        <f t="shared" si="4"/>
        <v>91939</v>
      </c>
      <c r="P15" s="13">
        <v>545875</v>
      </c>
      <c r="Q15" s="5">
        <f t="shared" si="5"/>
        <v>0.99392402205341468</v>
      </c>
      <c r="R15" s="7">
        <v>333160</v>
      </c>
      <c r="S15" s="6">
        <v>278332</v>
      </c>
      <c r="T15" s="4">
        <f t="shared" si="6"/>
        <v>52405</v>
      </c>
      <c r="U15" s="13">
        <v>330737</v>
      </c>
      <c r="V15" s="5">
        <f t="shared" si="7"/>
        <v>0.99272721815343978</v>
      </c>
      <c r="W15" s="7">
        <v>340519</v>
      </c>
      <c r="X15" s="6">
        <v>281895</v>
      </c>
      <c r="Y15" s="4">
        <f t="shared" si="8"/>
        <v>52302</v>
      </c>
      <c r="Z15" s="13">
        <v>334197</v>
      </c>
      <c r="AA15" s="5">
        <f t="shared" si="9"/>
        <v>0.98143422246629408</v>
      </c>
      <c r="AB15" s="7">
        <v>562036</v>
      </c>
      <c r="AC15" s="6">
        <v>463414</v>
      </c>
      <c r="AD15" s="4">
        <f t="shared" si="10"/>
        <v>87259</v>
      </c>
      <c r="AE15" s="13">
        <v>550673</v>
      </c>
      <c r="AF15" s="5">
        <f t="shared" si="11"/>
        <v>0.97978243386544639</v>
      </c>
      <c r="AG15" s="7">
        <v>340264</v>
      </c>
      <c r="AH15" s="6">
        <v>283134</v>
      </c>
      <c r="AI15" s="4">
        <f t="shared" si="12"/>
        <v>49943</v>
      </c>
      <c r="AJ15" s="13">
        <v>333077</v>
      </c>
      <c r="AK15" s="5">
        <f t="shared" si="13"/>
        <v>0.97887816518938231</v>
      </c>
      <c r="AL15" s="7">
        <v>350627</v>
      </c>
      <c r="AM15" s="6">
        <v>297883</v>
      </c>
      <c r="AN15" s="4">
        <f t="shared" si="14"/>
        <v>44354</v>
      </c>
      <c r="AO15" s="13">
        <v>342237</v>
      </c>
      <c r="AP15" s="5">
        <f t="shared" si="15"/>
        <v>0.97607143773867955</v>
      </c>
      <c r="AQ15" s="7">
        <v>580651</v>
      </c>
      <c r="AR15" s="6">
        <v>497925</v>
      </c>
      <c r="AS15" s="4">
        <f t="shared" si="16"/>
        <v>39072</v>
      </c>
      <c r="AT15" s="13">
        <v>536997</v>
      </c>
      <c r="AU15" s="5">
        <f t="shared" si="17"/>
        <v>0.92481886709916972</v>
      </c>
    </row>
    <row r="16" spans="1:47" x14ac:dyDescent="0.3">
      <c r="A16" s="17">
        <v>7</v>
      </c>
      <c r="B16" s="3" t="s">
        <v>12</v>
      </c>
      <c r="C16" s="7">
        <v>453518</v>
      </c>
      <c r="D16" s="6">
        <v>374739</v>
      </c>
      <c r="E16" s="4">
        <f t="shared" si="0"/>
        <v>76105</v>
      </c>
      <c r="F16" s="13">
        <v>450844</v>
      </c>
      <c r="G16" s="5">
        <f t="shared" si="1"/>
        <v>0.99410387239315745</v>
      </c>
      <c r="H16" s="7">
        <v>461360</v>
      </c>
      <c r="I16" s="6">
        <v>383819</v>
      </c>
      <c r="J16" s="4">
        <f t="shared" si="2"/>
        <v>73576</v>
      </c>
      <c r="K16" s="13">
        <v>457395</v>
      </c>
      <c r="L16" s="5">
        <f t="shared" si="3"/>
        <v>0.99140584359285588</v>
      </c>
      <c r="M16" s="7">
        <v>788355</v>
      </c>
      <c r="N16" s="6">
        <v>652999</v>
      </c>
      <c r="O16" s="4">
        <f t="shared" si="4"/>
        <v>131431</v>
      </c>
      <c r="P16" s="13">
        <v>784430</v>
      </c>
      <c r="Q16" s="5">
        <f t="shared" si="5"/>
        <v>0.99502127848494648</v>
      </c>
      <c r="R16" s="7">
        <v>462019</v>
      </c>
      <c r="S16" s="6">
        <v>384148</v>
      </c>
      <c r="T16" s="4">
        <f t="shared" si="6"/>
        <v>75633</v>
      </c>
      <c r="U16" s="13">
        <v>459781</v>
      </c>
      <c r="V16" s="5">
        <f t="shared" si="7"/>
        <v>0.99515604336618191</v>
      </c>
      <c r="W16" s="7">
        <v>472236</v>
      </c>
      <c r="X16" s="6">
        <v>388079</v>
      </c>
      <c r="Y16" s="4">
        <f t="shared" si="8"/>
        <v>74887</v>
      </c>
      <c r="Z16" s="13">
        <v>462966</v>
      </c>
      <c r="AA16" s="5">
        <f t="shared" si="9"/>
        <v>0.98036998449927582</v>
      </c>
      <c r="AB16" s="7">
        <v>804216</v>
      </c>
      <c r="AC16" s="6">
        <v>666061</v>
      </c>
      <c r="AD16" s="4">
        <f t="shared" si="10"/>
        <v>121619</v>
      </c>
      <c r="AE16" s="13">
        <v>787680</v>
      </c>
      <c r="AF16" s="5">
        <f t="shared" si="11"/>
        <v>0.97943835984362415</v>
      </c>
      <c r="AG16" s="7">
        <v>471201</v>
      </c>
      <c r="AH16" s="6">
        <v>390389</v>
      </c>
      <c r="AI16" s="4">
        <f t="shared" si="12"/>
        <v>70039</v>
      </c>
      <c r="AJ16" s="13">
        <v>460428</v>
      </c>
      <c r="AK16" s="5">
        <f t="shared" si="13"/>
        <v>0.97713714529468321</v>
      </c>
      <c r="AL16" s="7">
        <v>484445</v>
      </c>
      <c r="AM16" s="6">
        <v>410144</v>
      </c>
      <c r="AN16" s="4">
        <f t="shared" si="14"/>
        <v>64066</v>
      </c>
      <c r="AO16" s="13">
        <v>474210</v>
      </c>
      <c r="AP16" s="5">
        <f t="shared" si="15"/>
        <v>0.97887273065053826</v>
      </c>
      <c r="AQ16" s="7">
        <v>831010</v>
      </c>
      <c r="AR16" s="6">
        <v>702182</v>
      </c>
      <c r="AS16" s="4">
        <f t="shared" si="16"/>
        <v>65146</v>
      </c>
      <c r="AT16" s="13">
        <v>767328</v>
      </c>
      <c r="AU16" s="5">
        <f t="shared" si="17"/>
        <v>0.92336794984416548</v>
      </c>
    </row>
    <row r="17" spans="1:47" x14ac:dyDescent="0.3">
      <c r="A17" s="17">
        <v>8</v>
      </c>
      <c r="B17" s="3" t="s">
        <v>13</v>
      </c>
      <c r="C17" s="7">
        <v>342259</v>
      </c>
      <c r="D17" s="6">
        <v>282768</v>
      </c>
      <c r="E17" s="4">
        <f t="shared" si="0"/>
        <v>57869</v>
      </c>
      <c r="F17" s="13">
        <v>340637</v>
      </c>
      <c r="G17" s="5">
        <f t="shared" si="1"/>
        <v>0.99526089890988989</v>
      </c>
      <c r="H17" s="7">
        <v>352243</v>
      </c>
      <c r="I17" s="6">
        <v>293219</v>
      </c>
      <c r="J17" s="4">
        <f t="shared" si="2"/>
        <v>54236</v>
      </c>
      <c r="K17" s="13">
        <v>347455</v>
      </c>
      <c r="L17" s="5">
        <f t="shared" si="3"/>
        <v>0.98640711100007661</v>
      </c>
      <c r="M17" s="7">
        <v>765449</v>
      </c>
      <c r="N17" s="6">
        <v>630754</v>
      </c>
      <c r="O17" s="4">
        <f t="shared" si="4"/>
        <v>129820</v>
      </c>
      <c r="P17" s="13">
        <v>760574</v>
      </c>
      <c r="Q17" s="5">
        <f t="shared" si="5"/>
        <v>0.99363118901455227</v>
      </c>
      <c r="R17" s="7">
        <v>346814</v>
      </c>
      <c r="S17" s="6">
        <v>291467</v>
      </c>
      <c r="T17" s="4">
        <f t="shared" si="6"/>
        <v>55161</v>
      </c>
      <c r="U17" s="13">
        <v>346628</v>
      </c>
      <c r="V17" s="5">
        <f t="shared" si="7"/>
        <v>0.99946368947043662</v>
      </c>
      <c r="W17" s="7">
        <v>360071</v>
      </c>
      <c r="X17" s="6">
        <v>297205</v>
      </c>
      <c r="Y17" s="4">
        <f t="shared" si="8"/>
        <v>56485</v>
      </c>
      <c r="Z17" s="13">
        <v>353690</v>
      </c>
      <c r="AA17" s="5">
        <f t="shared" si="9"/>
        <v>0.98227849507458254</v>
      </c>
      <c r="AB17" s="7">
        <v>784641</v>
      </c>
      <c r="AC17" s="6">
        <v>636878</v>
      </c>
      <c r="AD17" s="4">
        <f t="shared" si="10"/>
        <v>133011</v>
      </c>
      <c r="AE17" s="13">
        <v>769889</v>
      </c>
      <c r="AF17" s="5">
        <f t="shared" si="11"/>
        <v>0.98119904516842738</v>
      </c>
      <c r="AG17" s="7">
        <v>355351</v>
      </c>
      <c r="AH17" s="6">
        <v>296567</v>
      </c>
      <c r="AI17" s="4">
        <f t="shared" si="12"/>
        <v>53990</v>
      </c>
      <c r="AJ17" s="13">
        <v>350557</v>
      </c>
      <c r="AK17" s="5">
        <f t="shared" si="13"/>
        <v>0.98650911352437454</v>
      </c>
      <c r="AL17" s="7">
        <v>371770</v>
      </c>
      <c r="AM17" s="6">
        <v>316957</v>
      </c>
      <c r="AN17" s="4">
        <f t="shared" si="14"/>
        <v>45570</v>
      </c>
      <c r="AO17" s="13">
        <v>362527</v>
      </c>
      <c r="AP17" s="5">
        <f t="shared" si="15"/>
        <v>0.97513785404954678</v>
      </c>
      <c r="AQ17" s="7">
        <v>810773</v>
      </c>
      <c r="AR17" s="6">
        <v>686655</v>
      </c>
      <c r="AS17" s="4">
        <f t="shared" si="16"/>
        <v>66656</v>
      </c>
      <c r="AT17" s="13">
        <v>753311</v>
      </c>
      <c r="AU17" s="5">
        <f t="shared" si="17"/>
        <v>0.92912689495086787</v>
      </c>
    </row>
    <row r="18" spans="1:47" x14ac:dyDescent="0.3">
      <c r="A18" s="17">
        <v>9</v>
      </c>
      <c r="B18" s="3" t="s">
        <v>14</v>
      </c>
      <c r="C18" s="7">
        <v>1070856</v>
      </c>
      <c r="D18" s="6">
        <v>873536</v>
      </c>
      <c r="E18" s="4">
        <f t="shared" si="0"/>
        <v>188191</v>
      </c>
      <c r="F18" s="13">
        <v>1061727</v>
      </c>
      <c r="G18" s="5">
        <f t="shared" si="1"/>
        <v>0.99147504426365451</v>
      </c>
      <c r="H18" s="7">
        <v>1089051</v>
      </c>
      <c r="I18" s="6">
        <v>884558</v>
      </c>
      <c r="J18" s="4">
        <f t="shared" si="2"/>
        <v>192007</v>
      </c>
      <c r="K18" s="13">
        <v>1076565</v>
      </c>
      <c r="L18" s="5">
        <f t="shared" si="3"/>
        <v>0.98853497219138498</v>
      </c>
      <c r="M18" s="7">
        <v>1637429</v>
      </c>
      <c r="N18" s="6">
        <v>1324037</v>
      </c>
      <c r="O18" s="4">
        <f t="shared" si="4"/>
        <v>293288</v>
      </c>
      <c r="P18" s="13">
        <v>1617325</v>
      </c>
      <c r="Q18" s="5">
        <f t="shared" si="5"/>
        <v>0.98772221574187336</v>
      </c>
      <c r="R18" s="7">
        <v>1090030</v>
      </c>
      <c r="S18" s="6">
        <v>888726</v>
      </c>
      <c r="T18" s="4">
        <f t="shared" si="6"/>
        <v>184251</v>
      </c>
      <c r="U18" s="13">
        <v>1072977</v>
      </c>
      <c r="V18" s="5">
        <f t="shared" si="7"/>
        <v>0.9843554764547765</v>
      </c>
      <c r="W18" s="7">
        <v>1107435</v>
      </c>
      <c r="X18" s="6">
        <v>896262</v>
      </c>
      <c r="Y18" s="4">
        <f t="shared" si="8"/>
        <v>183552</v>
      </c>
      <c r="Z18" s="13">
        <v>1079814</v>
      </c>
      <c r="AA18" s="5">
        <f t="shared" si="9"/>
        <v>0.97505858131628498</v>
      </c>
      <c r="AB18" s="7">
        <v>1665905</v>
      </c>
      <c r="AC18" s="6">
        <v>1345645</v>
      </c>
      <c r="AD18" s="4">
        <f t="shared" si="10"/>
        <v>275734</v>
      </c>
      <c r="AE18" s="13">
        <v>1621379</v>
      </c>
      <c r="AF18" s="5">
        <f t="shared" si="11"/>
        <v>0.97327218538872262</v>
      </c>
      <c r="AG18" s="7">
        <v>1104366</v>
      </c>
      <c r="AH18" s="6">
        <v>892354</v>
      </c>
      <c r="AI18" s="4">
        <f t="shared" si="12"/>
        <v>180945</v>
      </c>
      <c r="AJ18" s="13">
        <v>1073299</v>
      </c>
      <c r="AK18" s="5">
        <f t="shared" si="13"/>
        <v>0.97186892751135046</v>
      </c>
      <c r="AL18" s="7">
        <v>1131950</v>
      </c>
      <c r="AM18" s="6">
        <v>942776</v>
      </c>
      <c r="AN18" s="4">
        <f t="shared" si="14"/>
        <v>156416</v>
      </c>
      <c r="AO18" s="13">
        <v>1099192</v>
      </c>
      <c r="AP18" s="5">
        <f t="shared" si="15"/>
        <v>0.97106055921197931</v>
      </c>
      <c r="AQ18" s="7">
        <v>1717059</v>
      </c>
      <c r="AR18" s="6">
        <v>1445798</v>
      </c>
      <c r="AS18" s="4">
        <f t="shared" si="16"/>
        <v>142155</v>
      </c>
      <c r="AT18" s="13">
        <v>1587953</v>
      </c>
      <c r="AU18" s="5">
        <f t="shared" si="17"/>
        <v>0.92480980560365134</v>
      </c>
    </row>
    <row r="19" spans="1:47" x14ac:dyDescent="0.3">
      <c r="A19" s="18">
        <v>10</v>
      </c>
      <c r="B19" s="3" t="s">
        <v>15</v>
      </c>
      <c r="C19" s="7">
        <v>305619</v>
      </c>
      <c r="D19" s="6">
        <v>233841</v>
      </c>
      <c r="E19" s="4">
        <f t="shared" si="0"/>
        <v>64582</v>
      </c>
      <c r="F19" s="13">
        <v>298423</v>
      </c>
      <c r="G19" s="5">
        <f t="shared" si="1"/>
        <v>0.97645434347995375</v>
      </c>
      <c r="H19" s="7">
        <v>314567</v>
      </c>
      <c r="I19" s="6">
        <v>237989</v>
      </c>
      <c r="J19" s="4">
        <f t="shared" si="2"/>
        <v>66667</v>
      </c>
      <c r="K19" s="13">
        <v>304656</v>
      </c>
      <c r="L19" s="5">
        <f t="shared" si="3"/>
        <v>0.96849319858726435</v>
      </c>
      <c r="M19" s="7">
        <v>534704</v>
      </c>
      <c r="N19" s="6">
        <v>411123</v>
      </c>
      <c r="O19" s="4">
        <f t="shared" si="4"/>
        <v>110776</v>
      </c>
      <c r="P19" s="13">
        <v>521899</v>
      </c>
      <c r="Q19" s="5">
        <f t="shared" si="5"/>
        <v>0.97605217092073371</v>
      </c>
      <c r="R19" s="7">
        <v>310887</v>
      </c>
      <c r="S19" s="6">
        <v>241303</v>
      </c>
      <c r="T19" s="4">
        <f t="shared" si="6"/>
        <v>60871</v>
      </c>
      <c r="U19" s="13">
        <v>302174</v>
      </c>
      <c r="V19" s="5">
        <f t="shared" si="7"/>
        <v>0.97197373965460121</v>
      </c>
      <c r="W19" s="7">
        <v>321022</v>
      </c>
      <c r="X19" s="6">
        <v>242319</v>
      </c>
      <c r="Y19" s="4">
        <f t="shared" si="8"/>
        <v>63067</v>
      </c>
      <c r="Z19" s="13">
        <v>305386</v>
      </c>
      <c r="AA19" s="5">
        <f t="shared" si="9"/>
        <v>0.95129305779666196</v>
      </c>
      <c r="AB19" s="7">
        <v>548160</v>
      </c>
      <c r="AC19" s="6">
        <v>422235</v>
      </c>
      <c r="AD19" s="4">
        <f t="shared" si="10"/>
        <v>99858</v>
      </c>
      <c r="AE19" s="13">
        <v>522093</v>
      </c>
      <c r="AF19" s="5">
        <f t="shared" si="11"/>
        <v>0.95244636602451838</v>
      </c>
      <c r="AG19" s="7">
        <v>315587</v>
      </c>
      <c r="AH19" s="6">
        <v>241954</v>
      </c>
      <c r="AI19" s="4">
        <f t="shared" si="12"/>
        <v>57725</v>
      </c>
      <c r="AJ19" s="13">
        <v>299679</v>
      </c>
      <c r="AK19" s="5">
        <f t="shared" si="13"/>
        <v>0.94959234695979233</v>
      </c>
      <c r="AL19" s="7">
        <v>327315</v>
      </c>
      <c r="AM19" s="6">
        <v>260068</v>
      </c>
      <c r="AN19" s="4">
        <f t="shared" si="14"/>
        <v>47539</v>
      </c>
      <c r="AO19" s="13">
        <v>307607</v>
      </c>
      <c r="AP19" s="5">
        <f t="shared" si="15"/>
        <v>0.93978888837969543</v>
      </c>
      <c r="AQ19" s="7">
        <v>564697</v>
      </c>
      <c r="AR19" s="6">
        <v>451043</v>
      </c>
      <c r="AS19" s="4">
        <f t="shared" si="16"/>
        <v>56163</v>
      </c>
      <c r="AT19" s="13">
        <v>507206</v>
      </c>
      <c r="AU19" s="5">
        <f t="shared" si="17"/>
        <v>0.89819141946920211</v>
      </c>
    </row>
    <row r="20" spans="1:47" x14ac:dyDescent="0.3">
      <c r="A20" s="18">
        <v>11</v>
      </c>
      <c r="B20" s="3" t="s">
        <v>16</v>
      </c>
      <c r="C20" s="7">
        <v>6537</v>
      </c>
      <c r="D20" s="6">
        <v>4734</v>
      </c>
      <c r="E20" s="4">
        <f t="shared" si="0"/>
        <v>1700</v>
      </c>
      <c r="F20" s="13">
        <v>6434</v>
      </c>
      <c r="G20" s="5">
        <f t="shared" si="1"/>
        <v>0.98424353679057675</v>
      </c>
      <c r="H20" s="7">
        <v>6601</v>
      </c>
      <c r="I20" s="6">
        <v>4849</v>
      </c>
      <c r="J20" s="4">
        <f t="shared" si="2"/>
        <v>1593</v>
      </c>
      <c r="K20" s="13">
        <v>6442</v>
      </c>
      <c r="L20" s="5">
        <f t="shared" si="3"/>
        <v>0.97591274049386456</v>
      </c>
      <c r="M20" s="7">
        <v>10050</v>
      </c>
      <c r="N20" s="6">
        <v>7443</v>
      </c>
      <c r="O20" s="4">
        <f t="shared" si="4"/>
        <v>2452</v>
      </c>
      <c r="P20" s="13">
        <v>9895</v>
      </c>
      <c r="Q20" s="5">
        <f t="shared" si="5"/>
        <v>0.98457711442786067</v>
      </c>
      <c r="R20" s="7">
        <v>6485</v>
      </c>
      <c r="S20" s="6">
        <v>4803</v>
      </c>
      <c r="T20" s="4">
        <f t="shared" si="6"/>
        <v>1508</v>
      </c>
      <c r="U20" s="13">
        <v>6311</v>
      </c>
      <c r="V20" s="5">
        <f t="shared" si="7"/>
        <v>0.97316885119506558</v>
      </c>
      <c r="W20" s="7">
        <v>6573</v>
      </c>
      <c r="X20" s="6">
        <v>4906</v>
      </c>
      <c r="Y20" s="4">
        <f t="shared" si="8"/>
        <v>1353</v>
      </c>
      <c r="Z20" s="13">
        <v>6259</v>
      </c>
      <c r="AA20" s="5">
        <f t="shared" si="9"/>
        <v>0.95222881484862321</v>
      </c>
      <c r="AB20" s="7">
        <v>10123</v>
      </c>
      <c r="AC20" s="6">
        <v>7388</v>
      </c>
      <c r="AD20" s="4">
        <f t="shared" si="10"/>
        <v>2261</v>
      </c>
      <c r="AE20" s="13">
        <v>9649</v>
      </c>
      <c r="AF20" s="5">
        <f t="shared" si="11"/>
        <v>0.9531759359873555</v>
      </c>
      <c r="AG20" s="7">
        <v>6547</v>
      </c>
      <c r="AH20" s="6">
        <v>4896</v>
      </c>
      <c r="AI20" s="4">
        <f t="shared" si="12"/>
        <v>1213</v>
      </c>
      <c r="AJ20" s="13">
        <v>6109</v>
      </c>
      <c r="AK20" s="5">
        <f t="shared" si="13"/>
        <v>0.93309912937223161</v>
      </c>
      <c r="AL20" s="7">
        <v>6649</v>
      </c>
      <c r="AM20" s="6">
        <v>4989</v>
      </c>
      <c r="AN20" s="4">
        <f t="shared" si="14"/>
        <v>1042</v>
      </c>
      <c r="AO20" s="13">
        <v>6031</v>
      </c>
      <c r="AP20" s="5">
        <f t="shared" si="15"/>
        <v>0.90705369228455401</v>
      </c>
      <c r="AQ20" s="7">
        <v>10228</v>
      </c>
      <c r="AR20" s="6">
        <v>7694</v>
      </c>
      <c r="AS20" s="4">
        <f t="shared" si="16"/>
        <v>720</v>
      </c>
      <c r="AT20" s="13">
        <v>8414</v>
      </c>
      <c r="AU20" s="5">
        <f t="shared" si="17"/>
        <v>0.82264372311302303</v>
      </c>
    </row>
    <row r="21" spans="1:47" x14ac:dyDescent="0.3">
      <c r="A21" s="18">
        <v>12</v>
      </c>
      <c r="B21" s="3" t="s">
        <v>17</v>
      </c>
      <c r="C21" s="7">
        <v>12010</v>
      </c>
      <c r="D21" s="6">
        <v>7878</v>
      </c>
      <c r="E21" s="4">
        <f t="shared" si="0"/>
        <v>3986</v>
      </c>
      <c r="F21" s="13">
        <v>11864</v>
      </c>
      <c r="G21" s="5">
        <f t="shared" si="1"/>
        <v>0.98784346378018317</v>
      </c>
      <c r="H21" s="7">
        <v>12254</v>
      </c>
      <c r="I21" s="6">
        <v>8454</v>
      </c>
      <c r="J21" s="4">
        <f t="shared" si="2"/>
        <v>3583</v>
      </c>
      <c r="K21" s="13">
        <v>12037</v>
      </c>
      <c r="L21" s="5">
        <f t="shared" si="3"/>
        <v>0.98229149665415372</v>
      </c>
      <c r="M21" s="7">
        <v>16207</v>
      </c>
      <c r="N21" s="6">
        <v>11256</v>
      </c>
      <c r="O21" s="4">
        <f t="shared" si="4"/>
        <v>4713</v>
      </c>
      <c r="P21" s="13">
        <v>15969</v>
      </c>
      <c r="Q21" s="5">
        <f t="shared" si="5"/>
        <v>0.98531498735114453</v>
      </c>
      <c r="R21" s="7">
        <v>12383</v>
      </c>
      <c r="S21" s="6">
        <v>8645</v>
      </c>
      <c r="T21" s="4">
        <f t="shared" si="6"/>
        <v>3544</v>
      </c>
      <c r="U21" s="13">
        <v>12189</v>
      </c>
      <c r="V21" s="5">
        <f t="shared" si="7"/>
        <v>0.98433336025195828</v>
      </c>
      <c r="W21" s="7">
        <v>12782</v>
      </c>
      <c r="X21" s="6">
        <v>8791</v>
      </c>
      <c r="Y21" s="4">
        <f t="shared" si="8"/>
        <v>3440</v>
      </c>
      <c r="Z21" s="13">
        <v>12231</v>
      </c>
      <c r="AA21" s="5">
        <f t="shared" si="9"/>
        <v>0.95689250508527612</v>
      </c>
      <c r="AB21" s="7">
        <v>16816</v>
      </c>
      <c r="AC21" s="6">
        <v>12153</v>
      </c>
      <c r="AD21" s="4">
        <f t="shared" si="10"/>
        <v>3686</v>
      </c>
      <c r="AE21" s="13">
        <v>15839</v>
      </c>
      <c r="AF21" s="5">
        <f t="shared" si="11"/>
        <v>0.94190057088487156</v>
      </c>
      <c r="AG21" s="7">
        <v>12696</v>
      </c>
      <c r="AH21" s="6">
        <v>8835</v>
      </c>
      <c r="AI21" s="4">
        <f t="shared" si="12"/>
        <v>2938</v>
      </c>
      <c r="AJ21" s="13">
        <v>11773</v>
      </c>
      <c r="AK21" s="5">
        <f t="shared" si="13"/>
        <v>0.92729993698802771</v>
      </c>
      <c r="AL21" s="7">
        <v>13072</v>
      </c>
      <c r="AM21" s="6">
        <v>9129</v>
      </c>
      <c r="AN21" s="4">
        <f t="shared" si="14"/>
        <v>2488</v>
      </c>
      <c r="AO21" s="13">
        <v>11617</v>
      </c>
      <c r="AP21" s="5">
        <f t="shared" si="15"/>
        <v>0.88869339045287643</v>
      </c>
      <c r="AQ21" s="7">
        <v>17310</v>
      </c>
      <c r="AR21" s="6">
        <v>12626</v>
      </c>
      <c r="AS21" s="4">
        <f t="shared" si="16"/>
        <v>1525</v>
      </c>
      <c r="AT21" s="13">
        <v>14151</v>
      </c>
      <c r="AU21" s="5">
        <f t="shared" si="17"/>
        <v>0.81750433275563261</v>
      </c>
    </row>
    <row r="22" spans="1:47" x14ac:dyDescent="0.3">
      <c r="A22" s="18">
        <v>13</v>
      </c>
      <c r="B22" s="3" t="s">
        <v>18</v>
      </c>
      <c r="C22" s="7">
        <v>6996</v>
      </c>
      <c r="D22" s="6">
        <v>5094</v>
      </c>
      <c r="E22" s="4">
        <f t="shared" si="0"/>
        <v>1812</v>
      </c>
      <c r="F22" s="13">
        <v>6906</v>
      </c>
      <c r="G22" s="5">
        <f t="shared" si="1"/>
        <v>0.98713550600343059</v>
      </c>
      <c r="H22" s="7">
        <v>7077</v>
      </c>
      <c r="I22" s="6">
        <v>5092</v>
      </c>
      <c r="J22" s="4">
        <f t="shared" si="2"/>
        <v>1848</v>
      </c>
      <c r="K22" s="13">
        <v>6940</v>
      </c>
      <c r="L22" s="5">
        <f t="shared" si="3"/>
        <v>0.98064151476614381</v>
      </c>
      <c r="M22" s="7">
        <v>8504</v>
      </c>
      <c r="N22" s="6">
        <v>6118</v>
      </c>
      <c r="O22" s="4">
        <f t="shared" si="4"/>
        <v>2252</v>
      </c>
      <c r="P22" s="13">
        <v>8370</v>
      </c>
      <c r="Q22" s="5">
        <f t="shared" si="5"/>
        <v>0.9842427093132643</v>
      </c>
      <c r="R22" s="7">
        <v>7111</v>
      </c>
      <c r="S22" s="6">
        <v>5241</v>
      </c>
      <c r="T22" s="4">
        <f t="shared" si="6"/>
        <v>1681</v>
      </c>
      <c r="U22" s="13">
        <v>6922</v>
      </c>
      <c r="V22" s="5">
        <f t="shared" si="7"/>
        <v>0.97342145971030802</v>
      </c>
      <c r="W22" s="7">
        <v>7191</v>
      </c>
      <c r="X22" s="6">
        <v>5391</v>
      </c>
      <c r="Y22" s="4">
        <f t="shared" si="8"/>
        <v>1521</v>
      </c>
      <c r="Z22" s="13">
        <v>6912</v>
      </c>
      <c r="AA22" s="5">
        <f t="shared" si="9"/>
        <v>0.96120150187734665</v>
      </c>
      <c r="AB22" s="7">
        <v>8707</v>
      </c>
      <c r="AC22" s="6">
        <v>6629</v>
      </c>
      <c r="AD22" s="4">
        <f t="shared" si="10"/>
        <v>1641</v>
      </c>
      <c r="AE22" s="13">
        <v>8270</v>
      </c>
      <c r="AF22" s="5">
        <f t="shared" si="11"/>
        <v>0.94981049730102218</v>
      </c>
      <c r="AG22" s="7">
        <v>7162</v>
      </c>
      <c r="AH22" s="6">
        <v>5297</v>
      </c>
      <c r="AI22" s="4">
        <f t="shared" si="12"/>
        <v>1441</v>
      </c>
      <c r="AJ22" s="13">
        <v>6738</v>
      </c>
      <c r="AK22" s="5">
        <f t="shared" si="13"/>
        <v>0.9407986595922927</v>
      </c>
      <c r="AL22" s="7">
        <v>7226</v>
      </c>
      <c r="AM22" s="6">
        <v>5512</v>
      </c>
      <c r="AN22" s="4">
        <f t="shared" si="14"/>
        <v>1059</v>
      </c>
      <c r="AO22" s="13">
        <v>6571</v>
      </c>
      <c r="AP22" s="5">
        <f t="shared" si="15"/>
        <v>0.90935510655964569</v>
      </c>
      <c r="AQ22" s="7">
        <v>8754</v>
      </c>
      <c r="AR22" s="6">
        <v>6346</v>
      </c>
      <c r="AS22" s="4">
        <f t="shared" si="16"/>
        <v>943</v>
      </c>
      <c r="AT22" s="13">
        <v>7289</v>
      </c>
      <c r="AU22" s="5">
        <f t="shared" si="17"/>
        <v>0.83264793237377199</v>
      </c>
    </row>
    <row r="23" spans="1:47" x14ac:dyDescent="0.3">
      <c r="A23" s="18">
        <v>14</v>
      </c>
      <c r="B23" s="3" t="s">
        <v>19</v>
      </c>
      <c r="C23" s="7">
        <v>9407</v>
      </c>
      <c r="D23" s="6">
        <v>6233</v>
      </c>
      <c r="E23" s="4">
        <f t="shared" si="0"/>
        <v>2870</v>
      </c>
      <c r="F23" s="13">
        <v>9103</v>
      </c>
      <c r="G23" s="5">
        <f t="shared" si="1"/>
        <v>0.96768363984267036</v>
      </c>
      <c r="H23" s="7">
        <v>9786</v>
      </c>
      <c r="I23" s="6">
        <v>6074</v>
      </c>
      <c r="J23" s="4">
        <f t="shared" si="2"/>
        <v>3137</v>
      </c>
      <c r="K23" s="13">
        <v>9211</v>
      </c>
      <c r="L23" s="5">
        <f t="shared" si="3"/>
        <v>0.9412425914571837</v>
      </c>
      <c r="M23" s="7">
        <v>12056</v>
      </c>
      <c r="N23" s="6">
        <v>7853</v>
      </c>
      <c r="O23" s="4">
        <f t="shared" si="4"/>
        <v>3829</v>
      </c>
      <c r="P23" s="13">
        <v>11682</v>
      </c>
      <c r="Q23" s="5">
        <f t="shared" si="5"/>
        <v>0.96897810218978098</v>
      </c>
      <c r="R23" s="7">
        <v>9480</v>
      </c>
      <c r="S23" s="6">
        <v>6427</v>
      </c>
      <c r="T23" s="4">
        <f t="shared" si="6"/>
        <v>2772</v>
      </c>
      <c r="U23" s="13">
        <v>9199</v>
      </c>
      <c r="V23" s="5">
        <f t="shared" si="7"/>
        <v>0.97035864978902953</v>
      </c>
      <c r="W23" s="7">
        <v>9764</v>
      </c>
      <c r="X23" s="6">
        <v>6419</v>
      </c>
      <c r="Y23" s="4">
        <f t="shared" si="8"/>
        <v>2757</v>
      </c>
      <c r="Z23" s="13">
        <v>9176</v>
      </c>
      <c r="AA23" s="5">
        <f t="shared" si="9"/>
        <v>0.93977877918885699</v>
      </c>
      <c r="AB23" s="7">
        <v>12327</v>
      </c>
      <c r="AC23" s="6">
        <v>8541</v>
      </c>
      <c r="AD23" s="4">
        <f t="shared" si="10"/>
        <v>2972</v>
      </c>
      <c r="AE23" s="13">
        <v>11513</v>
      </c>
      <c r="AF23" s="5">
        <f t="shared" si="11"/>
        <v>0.93396609069522185</v>
      </c>
      <c r="AG23" s="7">
        <v>9618</v>
      </c>
      <c r="AH23" s="6">
        <v>6336</v>
      </c>
      <c r="AI23" s="4">
        <f t="shared" si="12"/>
        <v>2440</v>
      </c>
      <c r="AJ23" s="13">
        <v>8776</v>
      </c>
      <c r="AK23" s="5">
        <f t="shared" si="13"/>
        <v>0.91245581201913084</v>
      </c>
      <c r="AL23" s="7">
        <v>9741</v>
      </c>
      <c r="AM23" s="6">
        <v>6636</v>
      </c>
      <c r="AN23" s="4">
        <f t="shared" si="14"/>
        <v>2002</v>
      </c>
      <c r="AO23" s="13">
        <v>8638</v>
      </c>
      <c r="AP23" s="5">
        <f t="shared" si="15"/>
        <v>0.88676727235396779</v>
      </c>
      <c r="AQ23" s="7">
        <v>12556</v>
      </c>
      <c r="AR23" s="6">
        <v>8626</v>
      </c>
      <c r="AS23" s="4">
        <f t="shared" si="16"/>
        <v>1517</v>
      </c>
      <c r="AT23" s="13">
        <v>10143</v>
      </c>
      <c r="AU23" s="5">
        <f t="shared" si="17"/>
        <v>0.80782096208983756</v>
      </c>
    </row>
    <row r="24" spans="1:47" x14ac:dyDescent="0.3">
      <c r="A24" s="18">
        <v>15</v>
      </c>
      <c r="B24" s="3" t="s">
        <v>20</v>
      </c>
      <c r="C24" s="7">
        <v>6942</v>
      </c>
      <c r="D24" s="6">
        <v>5607</v>
      </c>
      <c r="E24" s="4">
        <f t="shared" si="0"/>
        <v>1242</v>
      </c>
      <c r="F24" s="13">
        <v>6849</v>
      </c>
      <c r="G24" s="5">
        <f t="shared" si="1"/>
        <v>0.98660328435609335</v>
      </c>
      <c r="H24" s="7">
        <v>7059</v>
      </c>
      <c r="I24" s="6">
        <v>5355</v>
      </c>
      <c r="J24" s="4">
        <f t="shared" si="2"/>
        <v>1532</v>
      </c>
      <c r="K24" s="13">
        <v>6887</v>
      </c>
      <c r="L24" s="5">
        <f t="shared" si="3"/>
        <v>0.9756339424847712</v>
      </c>
      <c r="M24" s="7">
        <v>8056</v>
      </c>
      <c r="N24" s="6">
        <v>6163</v>
      </c>
      <c r="O24" s="4">
        <f t="shared" si="4"/>
        <v>1682</v>
      </c>
      <c r="P24" s="13">
        <v>7845</v>
      </c>
      <c r="Q24" s="5">
        <f t="shared" si="5"/>
        <v>0.97380834160873886</v>
      </c>
      <c r="R24" s="7">
        <v>7134</v>
      </c>
      <c r="S24" s="6">
        <v>5622</v>
      </c>
      <c r="T24" s="4">
        <f t="shared" si="6"/>
        <v>1288</v>
      </c>
      <c r="U24" s="13">
        <v>6910</v>
      </c>
      <c r="V24" s="5">
        <f t="shared" si="7"/>
        <v>0.96860106532099799</v>
      </c>
      <c r="W24" s="7">
        <v>7208</v>
      </c>
      <c r="X24" s="6">
        <v>5619</v>
      </c>
      <c r="Y24" s="4">
        <f t="shared" si="8"/>
        <v>1309</v>
      </c>
      <c r="Z24" s="13">
        <v>6928</v>
      </c>
      <c r="AA24" s="5">
        <f t="shared" si="9"/>
        <v>0.9611542730299667</v>
      </c>
      <c r="AB24" s="7">
        <v>8228</v>
      </c>
      <c r="AC24" s="6">
        <v>6814</v>
      </c>
      <c r="AD24" s="4">
        <f t="shared" si="10"/>
        <v>1039</v>
      </c>
      <c r="AE24" s="13">
        <v>7853</v>
      </c>
      <c r="AF24" s="5">
        <f t="shared" si="11"/>
        <v>0.9544239183276616</v>
      </c>
      <c r="AG24" s="7">
        <v>7344</v>
      </c>
      <c r="AH24" s="6">
        <v>5745</v>
      </c>
      <c r="AI24" s="4">
        <f t="shared" si="12"/>
        <v>1165</v>
      </c>
      <c r="AJ24" s="13">
        <v>6910</v>
      </c>
      <c r="AK24" s="5">
        <f t="shared" si="13"/>
        <v>0.94090413943355122</v>
      </c>
      <c r="AL24" s="7">
        <v>7506</v>
      </c>
      <c r="AM24" s="6">
        <v>5942</v>
      </c>
      <c r="AN24" s="4">
        <f t="shared" si="14"/>
        <v>945</v>
      </c>
      <c r="AO24" s="13">
        <v>6887</v>
      </c>
      <c r="AP24" s="5">
        <f t="shared" si="15"/>
        <v>0.91753264055422323</v>
      </c>
      <c r="AQ24" s="7">
        <v>8509</v>
      </c>
      <c r="AR24" s="6">
        <v>6694</v>
      </c>
      <c r="AS24" s="4">
        <f t="shared" si="16"/>
        <v>747</v>
      </c>
      <c r="AT24" s="13">
        <v>7441</v>
      </c>
      <c r="AU24" s="5">
        <f t="shared" si="17"/>
        <v>0.87448583852391581</v>
      </c>
    </row>
    <row r="25" spans="1:47" x14ac:dyDescent="0.3">
      <c r="A25" s="18">
        <v>16</v>
      </c>
      <c r="B25" s="3" t="s">
        <v>21</v>
      </c>
      <c r="C25" s="7">
        <v>21473</v>
      </c>
      <c r="D25" s="6">
        <v>16660</v>
      </c>
      <c r="E25" s="4">
        <f t="shared" si="0"/>
        <v>4576</v>
      </c>
      <c r="F25" s="13">
        <v>21236</v>
      </c>
      <c r="G25" s="5">
        <f t="shared" si="1"/>
        <v>0.98896288362129181</v>
      </c>
      <c r="H25" s="7">
        <v>21813</v>
      </c>
      <c r="I25" s="6">
        <v>17022</v>
      </c>
      <c r="J25" s="4">
        <f t="shared" si="2"/>
        <v>4387</v>
      </c>
      <c r="K25" s="13">
        <v>21409</v>
      </c>
      <c r="L25" s="5">
        <f t="shared" si="3"/>
        <v>0.98147893458029611</v>
      </c>
      <c r="M25" s="7">
        <v>29215</v>
      </c>
      <c r="N25" s="6">
        <v>22791</v>
      </c>
      <c r="O25" s="4">
        <f t="shared" si="4"/>
        <v>5987</v>
      </c>
      <c r="P25" s="13">
        <v>28778</v>
      </c>
      <c r="Q25" s="5">
        <f t="shared" si="5"/>
        <v>0.98504193051514632</v>
      </c>
      <c r="R25" s="7">
        <v>21767</v>
      </c>
      <c r="S25" s="6">
        <v>17091</v>
      </c>
      <c r="T25" s="4">
        <f t="shared" si="6"/>
        <v>4323</v>
      </c>
      <c r="U25" s="13">
        <v>21414</v>
      </c>
      <c r="V25" s="5">
        <f t="shared" si="7"/>
        <v>0.98378279046262695</v>
      </c>
      <c r="W25" s="7">
        <v>22114</v>
      </c>
      <c r="X25" s="6">
        <v>17526</v>
      </c>
      <c r="Y25" s="4">
        <f t="shared" si="8"/>
        <v>3946</v>
      </c>
      <c r="Z25" s="13">
        <v>21472</v>
      </c>
      <c r="AA25" s="5">
        <f t="shared" si="9"/>
        <v>0.97096861716559646</v>
      </c>
      <c r="AB25" s="7">
        <v>29630</v>
      </c>
      <c r="AC25" s="6">
        <v>23886</v>
      </c>
      <c r="AD25" s="4">
        <f t="shared" si="10"/>
        <v>4862</v>
      </c>
      <c r="AE25" s="13">
        <v>28748</v>
      </c>
      <c r="AF25" s="5">
        <f t="shared" si="11"/>
        <v>0.97023287208909892</v>
      </c>
      <c r="AG25" s="7">
        <v>22174</v>
      </c>
      <c r="AH25" s="6">
        <v>17515</v>
      </c>
      <c r="AI25" s="4">
        <f t="shared" si="12"/>
        <v>3839</v>
      </c>
      <c r="AJ25" s="13">
        <v>21354</v>
      </c>
      <c r="AK25" s="5">
        <f t="shared" si="13"/>
        <v>0.96301975286371422</v>
      </c>
      <c r="AL25" s="7">
        <v>22503</v>
      </c>
      <c r="AM25" s="6">
        <v>17962</v>
      </c>
      <c r="AN25" s="4">
        <f t="shared" si="14"/>
        <v>3434</v>
      </c>
      <c r="AO25" s="13">
        <v>21396</v>
      </c>
      <c r="AP25" s="5">
        <f t="shared" si="15"/>
        <v>0.95080655912544998</v>
      </c>
      <c r="AQ25" s="7">
        <v>30294</v>
      </c>
      <c r="AR25" s="6">
        <v>24332</v>
      </c>
      <c r="AS25" s="4">
        <f t="shared" si="16"/>
        <v>2837</v>
      </c>
      <c r="AT25" s="13">
        <v>27169</v>
      </c>
      <c r="AU25" s="5">
        <f t="shared" si="17"/>
        <v>0.89684425958935765</v>
      </c>
    </row>
    <row r="26" spans="1:47" x14ac:dyDescent="0.3">
      <c r="A26" s="18">
        <v>17</v>
      </c>
      <c r="B26" s="3" t="s">
        <v>22</v>
      </c>
      <c r="C26" s="7">
        <v>14552</v>
      </c>
      <c r="D26" s="6">
        <v>11146</v>
      </c>
      <c r="E26" s="4">
        <f t="shared" si="0"/>
        <v>3208</v>
      </c>
      <c r="F26" s="13">
        <v>14354</v>
      </c>
      <c r="G26" s="5">
        <f t="shared" si="1"/>
        <v>0.98639362286970866</v>
      </c>
      <c r="H26" s="7">
        <v>14990</v>
      </c>
      <c r="I26" s="6">
        <v>11479</v>
      </c>
      <c r="J26" s="4">
        <f t="shared" si="2"/>
        <v>3155</v>
      </c>
      <c r="K26" s="13">
        <v>14634</v>
      </c>
      <c r="L26" s="5">
        <f t="shared" si="3"/>
        <v>0.97625083388925948</v>
      </c>
      <c r="M26" s="7">
        <v>28508</v>
      </c>
      <c r="N26" s="6">
        <v>22439</v>
      </c>
      <c r="O26" s="4">
        <f t="shared" si="4"/>
        <v>5634</v>
      </c>
      <c r="P26" s="13">
        <v>28073</v>
      </c>
      <c r="Q26" s="5">
        <f t="shared" si="5"/>
        <v>0.98474112529816193</v>
      </c>
      <c r="R26" s="7">
        <v>14719</v>
      </c>
      <c r="S26" s="6">
        <v>11247</v>
      </c>
      <c r="T26" s="4">
        <f t="shared" si="6"/>
        <v>3154</v>
      </c>
      <c r="U26" s="13">
        <v>14401</v>
      </c>
      <c r="V26" s="5">
        <f t="shared" si="7"/>
        <v>0.97839527141789528</v>
      </c>
      <c r="W26" s="7">
        <v>15123</v>
      </c>
      <c r="X26" s="6">
        <v>11371</v>
      </c>
      <c r="Y26" s="4">
        <f t="shared" si="8"/>
        <v>3112</v>
      </c>
      <c r="Z26" s="13">
        <v>14483</v>
      </c>
      <c r="AA26" s="5">
        <f t="shared" si="9"/>
        <v>0.9576803544270317</v>
      </c>
      <c r="AB26" s="7">
        <v>29054</v>
      </c>
      <c r="AC26" s="6">
        <v>23578</v>
      </c>
      <c r="AD26" s="4">
        <f t="shared" si="10"/>
        <v>4294</v>
      </c>
      <c r="AE26" s="13">
        <v>27872</v>
      </c>
      <c r="AF26" s="5">
        <f t="shared" si="11"/>
        <v>0.95931713361327187</v>
      </c>
      <c r="AG26" s="7">
        <v>14835</v>
      </c>
      <c r="AH26" s="6">
        <v>11361</v>
      </c>
      <c r="AI26" s="4">
        <f t="shared" si="12"/>
        <v>2658</v>
      </c>
      <c r="AJ26" s="13">
        <v>14019</v>
      </c>
      <c r="AK26" s="5">
        <f t="shared" si="13"/>
        <v>0.94499494438827103</v>
      </c>
      <c r="AL26" s="7">
        <v>15316</v>
      </c>
      <c r="AM26" s="6">
        <v>11686</v>
      </c>
      <c r="AN26" s="4">
        <f t="shared" si="14"/>
        <v>2291</v>
      </c>
      <c r="AO26" s="13">
        <v>13977</v>
      </c>
      <c r="AP26" s="5">
        <f t="shared" si="15"/>
        <v>0.91257508487855832</v>
      </c>
      <c r="AQ26" s="7">
        <v>29312</v>
      </c>
      <c r="AR26" s="6">
        <v>23528</v>
      </c>
      <c r="AS26" s="4">
        <f t="shared" si="16"/>
        <v>2230</v>
      </c>
      <c r="AT26" s="13">
        <v>25758</v>
      </c>
      <c r="AU26" s="5">
        <f t="shared" si="17"/>
        <v>0.87875272925764192</v>
      </c>
    </row>
    <row r="27" spans="1:47" x14ac:dyDescent="0.3">
      <c r="A27" s="18">
        <v>18</v>
      </c>
      <c r="B27" s="3" t="s">
        <v>23</v>
      </c>
      <c r="C27" s="7">
        <v>131128</v>
      </c>
      <c r="D27" s="6">
        <v>94995</v>
      </c>
      <c r="E27" s="4">
        <f t="shared" si="0"/>
        <v>33756</v>
      </c>
      <c r="F27" s="13">
        <v>128751</v>
      </c>
      <c r="G27" s="5">
        <f t="shared" si="1"/>
        <v>0.98187267402843026</v>
      </c>
      <c r="H27" s="7">
        <v>134384</v>
      </c>
      <c r="I27" s="6">
        <v>96804</v>
      </c>
      <c r="J27" s="4">
        <f t="shared" si="2"/>
        <v>32706</v>
      </c>
      <c r="K27" s="13">
        <v>129510</v>
      </c>
      <c r="L27" s="5">
        <f t="shared" si="3"/>
        <v>0.96373080128586741</v>
      </c>
      <c r="M27" s="7">
        <v>190911</v>
      </c>
      <c r="N27" s="6">
        <v>139789</v>
      </c>
      <c r="O27" s="4">
        <f t="shared" si="4"/>
        <v>48641</v>
      </c>
      <c r="P27" s="13">
        <v>188430</v>
      </c>
      <c r="Q27" s="5">
        <f t="shared" si="5"/>
        <v>0.98700441567012898</v>
      </c>
      <c r="R27" s="7">
        <v>131264</v>
      </c>
      <c r="S27" s="6">
        <v>97558</v>
      </c>
      <c r="T27" s="4">
        <f t="shared" si="6"/>
        <v>30965</v>
      </c>
      <c r="U27" s="13">
        <v>128523</v>
      </c>
      <c r="V27" s="5">
        <f t="shared" si="7"/>
        <v>0.97911841784495368</v>
      </c>
      <c r="W27" s="7">
        <v>134144</v>
      </c>
      <c r="X27" s="6">
        <v>94271</v>
      </c>
      <c r="Y27" s="4">
        <f t="shared" si="8"/>
        <v>34598</v>
      </c>
      <c r="Z27" s="13">
        <v>128869</v>
      </c>
      <c r="AA27" s="5">
        <f t="shared" si="9"/>
        <v>0.96067658635496178</v>
      </c>
      <c r="AB27" s="7">
        <v>194609</v>
      </c>
      <c r="AC27" s="6">
        <v>144584</v>
      </c>
      <c r="AD27" s="4">
        <f t="shared" si="10"/>
        <v>41521</v>
      </c>
      <c r="AE27" s="13">
        <v>186105</v>
      </c>
      <c r="AF27" s="5">
        <f t="shared" si="11"/>
        <v>0.95630212374556156</v>
      </c>
      <c r="AG27" s="7">
        <v>134089</v>
      </c>
      <c r="AH27" s="6">
        <v>98349</v>
      </c>
      <c r="AI27" s="4">
        <f t="shared" si="12"/>
        <v>28086</v>
      </c>
      <c r="AJ27" s="13">
        <v>126435</v>
      </c>
      <c r="AK27" s="5">
        <f t="shared" si="13"/>
        <v>0.94291850934826871</v>
      </c>
      <c r="AL27" s="7">
        <v>137688</v>
      </c>
      <c r="AM27" s="6">
        <v>104122</v>
      </c>
      <c r="AN27" s="4">
        <f t="shared" si="14"/>
        <v>23371</v>
      </c>
      <c r="AO27" s="13">
        <v>127493</v>
      </c>
      <c r="AP27" s="5">
        <f t="shared" si="15"/>
        <v>0.92595578409156931</v>
      </c>
      <c r="AQ27" s="7">
        <v>200322</v>
      </c>
      <c r="AR27" s="6">
        <v>150289</v>
      </c>
      <c r="AS27" s="4">
        <f t="shared" si="16"/>
        <v>21498</v>
      </c>
      <c r="AT27" s="13">
        <v>171787</v>
      </c>
      <c r="AU27" s="5">
        <f t="shared" si="17"/>
        <v>0.85755433751659826</v>
      </c>
    </row>
    <row r="28" spans="1:47" x14ac:dyDescent="0.3">
      <c r="A28" s="18">
        <v>19</v>
      </c>
      <c r="B28" s="3" t="s">
        <v>24</v>
      </c>
      <c r="C28" s="7">
        <v>437513</v>
      </c>
      <c r="D28" s="6">
        <v>364855</v>
      </c>
      <c r="E28" s="4">
        <f t="shared" si="0"/>
        <v>69191</v>
      </c>
      <c r="F28" s="13">
        <v>434046</v>
      </c>
      <c r="G28" s="5">
        <f t="shared" si="1"/>
        <v>0.99207566403741143</v>
      </c>
      <c r="H28" s="7">
        <v>447363</v>
      </c>
      <c r="I28" s="6">
        <v>372097</v>
      </c>
      <c r="J28" s="4">
        <f t="shared" si="2"/>
        <v>69070</v>
      </c>
      <c r="K28" s="13">
        <v>441167</v>
      </c>
      <c r="L28" s="5">
        <f t="shared" si="3"/>
        <v>0.98614994981703896</v>
      </c>
      <c r="M28" s="7">
        <v>722935</v>
      </c>
      <c r="N28" s="6">
        <v>599439</v>
      </c>
      <c r="O28" s="4">
        <f t="shared" si="4"/>
        <v>114859</v>
      </c>
      <c r="P28" s="13">
        <v>714298</v>
      </c>
      <c r="Q28" s="5">
        <f t="shared" si="5"/>
        <v>0.98805286782352497</v>
      </c>
      <c r="R28" s="7">
        <v>448339</v>
      </c>
      <c r="S28" s="6">
        <v>375900</v>
      </c>
      <c r="T28" s="4">
        <f t="shared" si="6"/>
        <v>66857</v>
      </c>
      <c r="U28" s="13">
        <v>442757</v>
      </c>
      <c r="V28" s="5">
        <f t="shared" si="7"/>
        <v>0.98754959974483592</v>
      </c>
      <c r="W28" s="7">
        <v>458076</v>
      </c>
      <c r="X28" s="6">
        <v>376941</v>
      </c>
      <c r="Y28" s="4">
        <f t="shared" si="8"/>
        <v>69031</v>
      </c>
      <c r="Z28" s="13">
        <v>445972</v>
      </c>
      <c r="AA28" s="5">
        <f t="shared" si="9"/>
        <v>0.97357643709777419</v>
      </c>
      <c r="AB28" s="7">
        <v>737235</v>
      </c>
      <c r="AC28" s="6">
        <v>615522</v>
      </c>
      <c r="AD28" s="4">
        <f t="shared" si="10"/>
        <v>101526</v>
      </c>
      <c r="AE28" s="13">
        <v>717048</v>
      </c>
      <c r="AF28" s="5">
        <f t="shared" si="11"/>
        <v>0.97261795763901604</v>
      </c>
      <c r="AG28" s="7">
        <v>456666</v>
      </c>
      <c r="AH28" s="6">
        <v>380204</v>
      </c>
      <c r="AI28" s="4">
        <f t="shared" si="12"/>
        <v>61391</v>
      </c>
      <c r="AJ28" s="13">
        <v>441595</v>
      </c>
      <c r="AK28" s="5">
        <f t="shared" si="13"/>
        <v>0.96699776204052856</v>
      </c>
      <c r="AL28" s="7">
        <v>468801</v>
      </c>
      <c r="AM28" s="6">
        <v>395237</v>
      </c>
      <c r="AN28" s="4">
        <f t="shared" si="14"/>
        <v>53648</v>
      </c>
      <c r="AO28" s="13">
        <v>448885</v>
      </c>
      <c r="AP28" s="5">
        <f t="shared" si="15"/>
        <v>0.95751715546681859</v>
      </c>
      <c r="AQ28" s="7">
        <v>756132</v>
      </c>
      <c r="AR28" s="6">
        <v>643574</v>
      </c>
      <c r="AS28" s="4">
        <f t="shared" si="16"/>
        <v>48417</v>
      </c>
      <c r="AT28" s="13">
        <v>691991</v>
      </c>
      <c r="AU28" s="5">
        <f t="shared" si="17"/>
        <v>0.91517221860733311</v>
      </c>
    </row>
    <row r="29" spans="1:47" x14ac:dyDescent="0.3">
      <c r="A29" s="18">
        <v>20</v>
      </c>
      <c r="B29" s="3" t="s">
        <v>25</v>
      </c>
      <c r="C29" s="7">
        <v>143752</v>
      </c>
      <c r="D29" s="6">
        <v>114507</v>
      </c>
      <c r="E29" s="4">
        <f t="shared" si="0"/>
        <v>27786</v>
      </c>
      <c r="F29" s="13">
        <v>142293</v>
      </c>
      <c r="G29" s="5">
        <f t="shared" si="1"/>
        <v>0.98985057599198623</v>
      </c>
      <c r="H29" s="7">
        <v>146310</v>
      </c>
      <c r="I29" s="6">
        <v>116595</v>
      </c>
      <c r="J29" s="4">
        <f t="shared" si="2"/>
        <v>27051</v>
      </c>
      <c r="K29" s="13">
        <v>143646</v>
      </c>
      <c r="L29" s="5">
        <f t="shared" si="3"/>
        <v>0.98179208529833917</v>
      </c>
      <c r="M29" s="7">
        <v>194093</v>
      </c>
      <c r="N29" s="6">
        <v>153852</v>
      </c>
      <c r="O29" s="4">
        <f t="shared" si="4"/>
        <v>36786</v>
      </c>
      <c r="P29" s="13">
        <v>190638</v>
      </c>
      <c r="Q29" s="5">
        <f t="shared" si="5"/>
        <v>0.98219925499631622</v>
      </c>
      <c r="R29" s="7">
        <v>146918</v>
      </c>
      <c r="S29" s="6">
        <v>118549</v>
      </c>
      <c r="T29" s="4">
        <f t="shared" si="6"/>
        <v>25536</v>
      </c>
      <c r="U29" s="13">
        <v>144085</v>
      </c>
      <c r="V29" s="5">
        <f t="shared" si="7"/>
        <v>0.98071713472821576</v>
      </c>
      <c r="W29" s="7">
        <v>149105</v>
      </c>
      <c r="X29" s="6">
        <v>119418</v>
      </c>
      <c r="Y29" s="4">
        <f t="shared" si="8"/>
        <v>25326</v>
      </c>
      <c r="Z29" s="13">
        <v>144744</v>
      </c>
      <c r="AA29" s="5">
        <f t="shared" si="9"/>
        <v>0.97075215452198116</v>
      </c>
      <c r="AB29" s="7">
        <v>197403</v>
      </c>
      <c r="AC29" s="6">
        <v>161534</v>
      </c>
      <c r="AD29" s="4">
        <f t="shared" si="10"/>
        <v>29348</v>
      </c>
      <c r="AE29" s="13">
        <v>190882</v>
      </c>
      <c r="AF29" s="5">
        <f t="shared" si="11"/>
        <v>0.96696605421396842</v>
      </c>
      <c r="AG29" s="7">
        <v>149309</v>
      </c>
      <c r="AH29" s="6">
        <v>119671</v>
      </c>
      <c r="AI29" s="4">
        <f t="shared" si="12"/>
        <v>23992</v>
      </c>
      <c r="AJ29" s="13">
        <v>143663</v>
      </c>
      <c r="AK29" s="5">
        <f t="shared" si="13"/>
        <v>0.96218580259729825</v>
      </c>
      <c r="AL29" s="7">
        <v>152026</v>
      </c>
      <c r="AM29" s="6">
        <v>126013</v>
      </c>
      <c r="AN29" s="4">
        <f t="shared" si="14"/>
        <v>20273</v>
      </c>
      <c r="AO29" s="13">
        <v>146286</v>
      </c>
      <c r="AP29" s="5">
        <f t="shared" si="15"/>
        <v>0.96224330048807438</v>
      </c>
      <c r="AQ29" s="7">
        <v>203571</v>
      </c>
      <c r="AR29" s="6">
        <v>168214</v>
      </c>
      <c r="AS29" s="4">
        <f t="shared" si="16"/>
        <v>17438</v>
      </c>
      <c r="AT29" s="13">
        <v>185652</v>
      </c>
      <c r="AU29" s="5">
        <f t="shared" si="17"/>
        <v>0.91197665679296169</v>
      </c>
    </row>
    <row r="30" spans="1:47" x14ac:dyDescent="0.3">
      <c r="A30" s="18">
        <v>21</v>
      </c>
      <c r="B30" s="3" t="s">
        <v>26</v>
      </c>
      <c r="C30" s="7">
        <v>186272</v>
      </c>
      <c r="D30" s="6">
        <v>144364</v>
      </c>
      <c r="E30" s="4">
        <f t="shared" si="0"/>
        <v>40667</v>
      </c>
      <c r="F30" s="13">
        <v>185031</v>
      </c>
      <c r="G30" s="5">
        <f t="shared" si="1"/>
        <v>0.99333769970795394</v>
      </c>
      <c r="H30" s="7">
        <v>190966</v>
      </c>
      <c r="I30" s="6">
        <v>146812</v>
      </c>
      <c r="J30" s="4">
        <f t="shared" si="2"/>
        <v>40924</v>
      </c>
      <c r="K30" s="13">
        <v>187736</v>
      </c>
      <c r="L30" s="5">
        <f t="shared" si="3"/>
        <v>0.98308599436548916</v>
      </c>
      <c r="M30" s="7">
        <v>320227</v>
      </c>
      <c r="N30" s="6">
        <v>250002</v>
      </c>
      <c r="O30" s="4">
        <f t="shared" si="4"/>
        <v>66077</v>
      </c>
      <c r="P30" s="13">
        <v>316079</v>
      </c>
      <c r="Q30" s="5">
        <f t="shared" si="5"/>
        <v>0.98704668875516433</v>
      </c>
      <c r="R30" s="7">
        <v>189502</v>
      </c>
      <c r="S30" s="6">
        <v>150515</v>
      </c>
      <c r="T30" s="4">
        <f t="shared" si="6"/>
        <v>36497</v>
      </c>
      <c r="U30" s="13">
        <v>187012</v>
      </c>
      <c r="V30" s="5">
        <f t="shared" si="7"/>
        <v>0.98686029698894995</v>
      </c>
      <c r="W30" s="7">
        <v>194334</v>
      </c>
      <c r="X30" s="6">
        <v>152878</v>
      </c>
      <c r="Y30" s="4">
        <f t="shared" si="8"/>
        <v>35623</v>
      </c>
      <c r="Z30" s="13">
        <v>188501</v>
      </c>
      <c r="AA30" s="5">
        <f t="shared" si="9"/>
        <v>0.96998466557576135</v>
      </c>
      <c r="AB30" s="7">
        <v>325942</v>
      </c>
      <c r="AC30" s="6">
        <v>261942</v>
      </c>
      <c r="AD30" s="4">
        <f t="shared" si="10"/>
        <v>54014</v>
      </c>
      <c r="AE30" s="13">
        <v>315956</v>
      </c>
      <c r="AF30" s="5">
        <f t="shared" si="11"/>
        <v>0.96936264734216515</v>
      </c>
      <c r="AG30" s="7">
        <v>192789</v>
      </c>
      <c r="AH30" s="6">
        <v>151479</v>
      </c>
      <c r="AI30" s="4">
        <f t="shared" si="12"/>
        <v>34757</v>
      </c>
      <c r="AJ30" s="13">
        <v>186236</v>
      </c>
      <c r="AK30" s="5">
        <f t="shared" si="13"/>
        <v>0.96600947149474292</v>
      </c>
      <c r="AL30" s="7">
        <v>197994</v>
      </c>
      <c r="AM30" s="6">
        <v>158774</v>
      </c>
      <c r="AN30" s="4">
        <f t="shared" si="14"/>
        <v>29014</v>
      </c>
      <c r="AO30" s="13">
        <v>187788</v>
      </c>
      <c r="AP30" s="5">
        <f t="shared" si="15"/>
        <v>0.94845298342374007</v>
      </c>
      <c r="AQ30" s="7">
        <v>333633</v>
      </c>
      <c r="AR30" s="6">
        <v>270143</v>
      </c>
      <c r="AS30" s="4">
        <f t="shared" si="16"/>
        <v>29349</v>
      </c>
      <c r="AT30" s="13">
        <v>299492</v>
      </c>
      <c r="AU30" s="5">
        <f t="shared" si="17"/>
        <v>0.89766899557297986</v>
      </c>
    </row>
    <row r="31" spans="1:47" x14ac:dyDescent="0.3">
      <c r="A31" s="18">
        <v>22</v>
      </c>
      <c r="B31" s="3" t="s">
        <v>27</v>
      </c>
      <c r="C31" s="7">
        <v>82883</v>
      </c>
      <c r="D31" s="6">
        <v>64340</v>
      </c>
      <c r="E31" s="4">
        <f t="shared" si="0"/>
        <v>19041</v>
      </c>
      <c r="F31" s="13">
        <v>83381</v>
      </c>
      <c r="G31" s="5">
        <f t="shared" si="1"/>
        <v>1.0060084697706406</v>
      </c>
      <c r="H31" s="7">
        <v>85478</v>
      </c>
      <c r="I31" s="6">
        <v>67087</v>
      </c>
      <c r="J31" s="4">
        <f t="shared" si="2"/>
        <v>17762</v>
      </c>
      <c r="K31" s="13">
        <v>84849</v>
      </c>
      <c r="L31" s="5">
        <f t="shared" si="3"/>
        <v>0.99264138140808156</v>
      </c>
      <c r="M31" s="7">
        <v>149930</v>
      </c>
      <c r="N31" s="6">
        <v>111852</v>
      </c>
      <c r="O31" s="4">
        <f t="shared" si="4"/>
        <v>38054</v>
      </c>
      <c r="P31" s="13">
        <v>149906</v>
      </c>
      <c r="Q31" s="5">
        <f t="shared" si="5"/>
        <v>0.99983992529847265</v>
      </c>
      <c r="R31" s="7">
        <v>83981</v>
      </c>
      <c r="S31" s="6">
        <v>65809</v>
      </c>
      <c r="T31" s="4">
        <f t="shared" si="6"/>
        <v>18063</v>
      </c>
      <c r="U31" s="13">
        <v>83872</v>
      </c>
      <c r="V31" s="5">
        <f t="shared" si="7"/>
        <v>0.99870208737690669</v>
      </c>
      <c r="W31" s="7">
        <v>85994</v>
      </c>
      <c r="X31" s="6">
        <v>66564</v>
      </c>
      <c r="Y31" s="4">
        <f t="shared" si="8"/>
        <v>18231</v>
      </c>
      <c r="Z31" s="13">
        <v>84795</v>
      </c>
      <c r="AA31" s="5">
        <f t="shared" si="9"/>
        <v>0.98605716677907762</v>
      </c>
      <c r="AB31" s="7">
        <v>153633</v>
      </c>
      <c r="AC31" s="6">
        <v>113241</v>
      </c>
      <c r="AD31" s="4">
        <f t="shared" si="10"/>
        <v>37342</v>
      </c>
      <c r="AE31" s="13">
        <v>150583</v>
      </c>
      <c r="AF31" s="5">
        <f t="shared" si="11"/>
        <v>0.98014749435342663</v>
      </c>
      <c r="AG31" s="7">
        <v>85109</v>
      </c>
      <c r="AH31" s="6">
        <v>65518</v>
      </c>
      <c r="AI31" s="4">
        <f t="shared" si="12"/>
        <v>18550</v>
      </c>
      <c r="AJ31" s="13">
        <v>84068</v>
      </c>
      <c r="AK31" s="5">
        <f t="shared" si="13"/>
        <v>0.98776862611474692</v>
      </c>
      <c r="AL31" s="7">
        <v>88549</v>
      </c>
      <c r="AM31" s="6">
        <v>70171</v>
      </c>
      <c r="AN31" s="4">
        <f t="shared" si="14"/>
        <v>15231</v>
      </c>
      <c r="AO31" s="13">
        <v>85402</v>
      </c>
      <c r="AP31" s="5">
        <f t="shared" si="15"/>
        <v>0.96446035528351537</v>
      </c>
      <c r="AQ31" s="7">
        <v>156407</v>
      </c>
      <c r="AR31" s="6">
        <v>123123</v>
      </c>
      <c r="AS31" s="4">
        <f t="shared" si="16"/>
        <v>18821</v>
      </c>
      <c r="AT31" s="13">
        <v>141944</v>
      </c>
      <c r="AU31" s="5">
        <f t="shared" si="17"/>
        <v>0.90752971414322892</v>
      </c>
    </row>
    <row r="32" spans="1:47" x14ac:dyDescent="0.3">
      <c r="A32" s="18">
        <v>23</v>
      </c>
      <c r="B32" s="3" t="s">
        <v>28</v>
      </c>
      <c r="C32" s="7">
        <v>232014</v>
      </c>
      <c r="D32" s="6">
        <v>183213</v>
      </c>
      <c r="E32" s="4">
        <f t="shared" si="0"/>
        <v>48021</v>
      </c>
      <c r="F32" s="13">
        <v>231234</v>
      </c>
      <c r="G32" s="5">
        <f t="shared" si="1"/>
        <v>0.99663813390571254</v>
      </c>
      <c r="H32" s="7">
        <v>238678</v>
      </c>
      <c r="I32" s="6">
        <v>189272</v>
      </c>
      <c r="J32" s="4">
        <f t="shared" si="2"/>
        <v>46034</v>
      </c>
      <c r="K32" s="13">
        <v>235306</v>
      </c>
      <c r="L32" s="5">
        <f t="shared" si="3"/>
        <v>0.98587217925405779</v>
      </c>
      <c r="M32" s="7">
        <v>498323</v>
      </c>
      <c r="N32" s="6">
        <v>386676</v>
      </c>
      <c r="O32" s="4">
        <f t="shared" si="4"/>
        <v>106273</v>
      </c>
      <c r="P32" s="13">
        <v>492949</v>
      </c>
      <c r="Q32" s="5">
        <f t="shared" si="5"/>
        <v>0.98921582989346268</v>
      </c>
      <c r="R32" s="7">
        <v>234167</v>
      </c>
      <c r="S32" s="6">
        <v>189787</v>
      </c>
      <c r="T32" s="4">
        <f t="shared" si="6"/>
        <v>42805</v>
      </c>
      <c r="U32" s="13">
        <v>232592</v>
      </c>
      <c r="V32" s="5">
        <f t="shared" si="7"/>
        <v>0.99327403092664635</v>
      </c>
      <c r="W32" s="7">
        <v>242821</v>
      </c>
      <c r="X32" s="6">
        <v>191962</v>
      </c>
      <c r="Y32" s="4">
        <f t="shared" si="8"/>
        <v>44322</v>
      </c>
      <c r="Z32" s="13">
        <v>236284</v>
      </c>
      <c r="AA32" s="5">
        <f t="shared" si="9"/>
        <v>0.97307893468851536</v>
      </c>
      <c r="AB32" s="7">
        <v>507064</v>
      </c>
      <c r="AC32" s="6">
        <v>392508</v>
      </c>
      <c r="AD32" s="4">
        <f t="shared" si="10"/>
        <v>103176</v>
      </c>
      <c r="AE32" s="13">
        <v>495684</v>
      </c>
      <c r="AF32" s="5">
        <f t="shared" si="11"/>
        <v>0.97755707366328515</v>
      </c>
      <c r="AG32" s="7">
        <v>238186</v>
      </c>
      <c r="AH32" s="6">
        <v>190133</v>
      </c>
      <c r="AI32" s="4">
        <f t="shared" si="12"/>
        <v>43277</v>
      </c>
      <c r="AJ32" s="13">
        <v>233410</v>
      </c>
      <c r="AK32" s="5">
        <f t="shared" si="13"/>
        <v>0.97994844365327938</v>
      </c>
      <c r="AL32" s="7">
        <v>247675</v>
      </c>
      <c r="AM32" s="6">
        <v>203613</v>
      </c>
      <c r="AN32" s="4">
        <f t="shared" si="14"/>
        <v>36017</v>
      </c>
      <c r="AO32" s="13">
        <v>239630</v>
      </c>
      <c r="AP32" s="5">
        <f t="shared" si="15"/>
        <v>0.96751791662460884</v>
      </c>
      <c r="AQ32" s="7">
        <v>518099</v>
      </c>
      <c r="AR32" s="6">
        <v>416826</v>
      </c>
      <c r="AS32" s="4">
        <f t="shared" si="16"/>
        <v>59394</v>
      </c>
      <c r="AT32" s="13">
        <v>476220</v>
      </c>
      <c r="AU32" s="5">
        <f t="shared" si="17"/>
        <v>0.91916795824736197</v>
      </c>
    </row>
    <row r="33" spans="1:47" x14ac:dyDescent="0.3">
      <c r="A33" s="18">
        <v>24</v>
      </c>
      <c r="B33" s="3" t="s">
        <v>29</v>
      </c>
      <c r="C33" s="7">
        <v>715793</v>
      </c>
      <c r="D33" s="6">
        <v>637216</v>
      </c>
      <c r="E33" s="20">
        <f t="shared" si="0"/>
        <v>81071</v>
      </c>
      <c r="F33" s="13">
        <v>718287</v>
      </c>
      <c r="G33" s="21">
        <f t="shared" si="1"/>
        <v>1.0034842475408394</v>
      </c>
      <c r="H33" s="7">
        <v>726544</v>
      </c>
      <c r="I33" s="6">
        <v>656733</v>
      </c>
      <c r="J33" s="20">
        <f t="shared" si="2"/>
        <v>72728</v>
      </c>
      <c r="K33" s="13">
        <v>729461</v>
      </c>
      <c r="L33" s="21">
        <f t="shared" si="3"/>
        <v>1.0040148979277235</v>
      </c>
      <c r="M33" s="7">
        <v>1152516</v>
      </c>
      <c r="N33" s="6">
        <v>1013927</v>
      </c>
      <c r="O33" s="20">
        <f t="shared" si="4"/>
        <v>139014</v>
      </c>
      <c r="P33" s="13">
        <v>1152941</v>
      </c>
      <c r="Q33" s="21">
        <f t="shared" si="5"/>
        <v>1.0003687584380607</v>
      </c>
      <c r="R33" s="7">
        <v>733468</v>
      </c>
      <c r="S33" s="6">
        <v>654125</v>
      </c>
      <c r="T33" s="20">
        <f t="shared" si="6"/>
        <v>81883</v>
      </c>
      <c r="U33" s="13">
        <v>736008</v>
      </c>
      <c r="V33" s="21">
        <f t="shared" si="7"/>
        <v>1.00346300043083</v>
      </c>
      <c r="W33" s="7">
        <v>745690</v>
      </c>
      <c r="X33" s="6">
        <v>665552</v>
      </c>
      <c r="Y33" s="20">
        <f t="shared" si="8"/>
        <v>78936</v>
      </c>
      <c r="Z33" s="13">
        <v>744488</v>
      </c>
      <c r="AA33" s="21">
        <f t="shared" si="9"/>
        <v>0.99838807010956299</v>
      </c>
      <c r="AB33" s="7">
        <v>1180887</v>
      </c>
      <c r="AC33" s="6">
        <v>1039885</v>
      </c>
      <c r="AD33" s="20">
        <f t="shared" si="10"/>
        <v>133586</v>
      </c>
      <c r="AE33" s="13">
        <v>1173471</v>
      </c>
      <c r="AF33" s="21">
        <f t="shared" si="11"/>
        <v>0.99371997490022335</v>
      </c>
      <c r="AG33" s="7">
        <v>749948</v>
      </c>
      <c r="AH33" s="6">
        <v>670486</v>
      </c>
      <c r="AI33" s="20">
        <f t="shared" si="12"/>
        <v>75397</v>
      </c>
      <c r="AJ33" s="13">
        <v>745883</v>
      </c>
      <c r="AK33" s="21">
        <f t="shared" si="13"/>
        <v>0.99457962418727697</v>
      </c>
      <c r="AL33" s="7">
        <v>765123</v>
      </c>
      <c r="AM33" s="6">
        <v>698471</v>
      </c>
      <c r="AN33" s="20">
        <f t="shared" si="14"/>
        <v>64712</v>
      </c>
      <c r="AO33" s="13">
        <v>763183</v>
      </c>
      <c r="AP33" s="21">
        <f t="shared" si="15"/>
        <v>0.99746445996264654</v>
      </c>
      <c r="AQ33" s="7">
        <v>1217820</v>
      </c>
      <c r="AR33" s="6">
        <v>1083826</v>
      </c>
      <c r="AS33" s="20">
        <f t="shared" si="16"/>
        <v>82346</v>
      </c>
      <c r="AT33" s="13">
        <v>1166172</v>
      </c>
      <c r="AU33" s="21">
        <f t="shared" si="17"/>
        <v>0.95758979159481694</v>
      </c>
    </row>
    <row r="34" spans="1:47" x14ac:dyDescent="0.3">
      <c r="A34" s="18">
        <v>25</v>
      </c>
      <c r="B34" s="3" t="s">
        <v>30</v>
      </c>
      <c r="C34" s="14">
        <v>0</v>
      </c>
      <c r="D34" s="14">
        <v>0</v>
      </c>
      <c r="E34" s="14" t="s">
        <v>47</v>
      </c>
      <c r="F34" s="14">
        <v>0</v>
      </c>
      <c r="G34" s="14" t="s">
        <v>47</v>
      </c>
      <c r="H34" s="14">
        <v>0</v>
      </c>
      <c r="I34" s="14">
        <v>0</v>
      </c>
      <c r="J34" s="14" t="s">
        <v>47</v>
      </c>
      <c r="K34" s="14">
        <v>0</v>
      </c>
      <c r="L34" s="14" t="s">
        <v>47</v>
      </c>
      <c r="M34" s="14">
        <v>0</v>
      </c>
      <c r="N34" s="14">
        <v>0</v>
      </c>
      <c r="O34" s="14" t="s">
        <v>47</v>
      </c>
      <c r="P34" s="14">
        <v>0</v>
      </c>
      <c r="Q34" s="14" t="s">
        <v>47</v>
      </c>
      <c r="R34" s="14">
        <v>0</v>
      </c>
      <c r="S34" s="14">
        <v>0</v>
      </c>
      <c r="T34" s="14" t="s">
        <v>47</v>
      </c>
      <c r="U34" s="14">
        <v>0</v>
      </c>
      <c r="V34" s="14" t="s">
        <v>47</v>
      </c>
      <c r="W34" s="14">
        <v>0</v>
      </c>
      <c r="X34" s="14">
        <v>0</v>
      </c>
      <c r="Y34" s="14" t="s">
        <v>47</v>
      </c>
      <c r="Z34" s="14">
        <v>0</v>
      </c>
      <c r="AA34" s="14" t="s">
        <v>47</v>
      </c>
      <c r="AB34" s="14">
        <v>0</v>
      </c>
      <c r="AC34" s="14">
        <v>0</v>
      </c>
      <c r="AD34" s="14" t="s">
        <v>47</v>
      </c>
      <c r="AE34" s="14">
        <v>0</v>
      </c>
      <c r="AF34" s="14" t="s">
        <v>47</v>
      </c>
      <c r="AG34" s="14">
        <v>0</v>
      </c>
      <c r="AH34" s="14">
        <v>0</v>
      </c>
      <c r="AI34" s="14" t="s">
        <v>47</v>
      </c>
      <c r="AJ34" s="14">
        <v>0</v>
      </c>
      <c r="AK34" s="14" t="s">
        <v>47</v>
      </c>
      <c r="AL34" s="14">
        <v>0</v>
      </c>
      <c r="AM34" s="14">
        <v>0</v>
      </c>
      <c r="AN34" s="14" t="s">
        <v>47</v>
      </c>
      <c r="AO34" s="14">
        <v>0</v>
      </c>
      <c r="AP34" s="14" t="s">
        <v>47</v>
      </c>
      <c r="AQ34" s="14">
        <v>0</v>
      </c>
      <c r="AR34" s="14">
        <v>0</v>
      </c>
      <c r="AS34" s="14" t="s">
        <v>47</v>
      </c>
      <c r="AT34" s="14">
        <v>0</v>
      </c>
      <c r="AU34" s="14" t="s">
        <v>47</v>
      </c>
    </row>
    <row r="35" spans="1:47" x14ac:dyDescent="0.3">
      <c r="A35" s="18">
        <v>26</v>
      </c>
      <c r="B35" s="3" t="s">
        <v>31</v>
      </c>
      <c r="C35" s="7">
        <v>12258</v>
      </c>
      <c r="D35" s="6">
        <v>9978</v>
      </c>
      <c r="E35" s="4">
        <f t="shared" ref="E35:E48" si="18">F35-D35</f>
        <v>2246</v>
      </c>
      <c r="F35" s="13">
        <v>12224</v>
      </c>
      <c r="G35" s="5">
        <f t="shared" ref="G35:G48" si="19">F35/C35</f>
        <v>0.99722630119105893</v>
      </c>
      <c r="H35" s="7">
        <v>12343</v>
      </c>
      <c r="I35" s="6">
        <v>10149</v>
      </c>
      <c r="J35" s="4">
        <f t="shared" ref="J35:J48" si="20">K35-I35</f>
        <v>2154</v>
      </c>
      <c r="K35" s="13">
        <v>12303</v>
      </c>
      <c r="L35" s="5">
        <f t="shared" ref="L35:L48" si="21">K35/H35</f>
        <v>0.99675929676739849</v>
      </c>
      <c r="M35" s="7">
        <v>15097</v>
      </c>
      <c r="N35" s="6">
        <v>12214</v>
      </c>
      <c r="O35" s="4">
        <f t="shared" ref="O35:O48" si="22">P35-N35</f>
        <v>2798</v>
      </c>
      <c r="P35" s="13">
        <v>15012</v>
      </c>
      <c r="Q35" s="5">
        <f t="shared" ref="Q35:Q48" si="23">P35/M35</f>
        <v>0.99436974233291386</v>
      </c>
      <c r="R35" s="7">
        <v>12455</v>
      </c>
      <c r="S35" s="6">
        <v>10110</v>
      </c>
      <c r="T35" s="4">
        <f t="shared" ref="T35:T48" si="24">U35-S35</f>
        <v>2227</v>
      </c>
      <c r="U35" s="13">
        <v>12337</v>
      </c>
      <c r="V35" s="5">
        <f t="shared" ref="V35:V48" si="25">U35/R35</f>
        <v>0.99052589321557605</v>
      </c>
      <c r="W35" s="7">
        <v>12547</v>
      </c>
      <c r="X35" s="6">
        <v>10356</v>
      </c>
      <c r="Y35" s="4">
        <f t="shared" ref="Y35:Y48" si="26">Z35-X35</f>
        <v>1970</v>
      </c>
      <c r="Z35" s="13">
        <v>12326</v>
      </c>
      <c r="AA35" s="5">
        <f t="shared" ref="AA35:AA48" si="27">Z35/W35</f>
        <v>0.98238622778353391</v>
      </c>
      <c r="AB35" s="7">
        <v>15257</v>
      </c>
      <c r="AC35" s="6">
        <v>12475</v>
      </c>
      <c r="AD35" s="4">
        <f t="shared" ref="AD35:AD48" si="28">AE35-AC35</f>
        <v>2449</v>
      </c>
      <c r="AE35" s="13">
        <v>14924</v>
      </c>
      <c r="AF35" s="5">
        <f t="shared" ref="AF35:AF48" si="29">AE35/AB35</f>
        <v>0.97817395293963427</v>
      </c>
      <c r="AG35" s="7">
        <v>12574</v>
      </c>
      <c r="AH35" s="6">
        <v>10323</v>
      </c>
      <c r="AI35" s="4">
        <f t="shared" ref="AI35:AI48" si="30">AJ35-AH35</f>
        <v>1925</v>
      </c>
      <c r="AJ35" s="13">
        <v>12248</v>
      </c>
      <c r="AK35" s="5">
        <f t="shared" ref="AK35:AK48" si="31">AJ35/AG35</f>
        <v>0.97407348496898361</v>
      </c>
      <c r="AL35" s="7">
        <v>12702</v>
      </c>
      <c r="AM35" s="6">
        <v>10524</v>
      </c>
      <c r="AN35" s="4">
        <f t="shared" ref="AN35:AN48" si="32">AO35-AM35</f>
        <v>1654</v>
      </c>
      <c r="AO35" s="13">
        <v>12178</v>
      </c>
      <c r="AP35" s="5">
        <f t="shared" ref="AP35:AP48" si="33">AO35/AL35</f>
        <v>0.95874665407022519</v>
      </c>
      <c r="AQ35" s="7">
        <v>15458</v>
      </c>
      <c r="AR35" s="6">
        <v>12718</v>
      </c>
      <c r="AS35" s="4">
        <f t="shared" ref="AS35:AS48" si="34">AT35-AR35</f>
        <v>1154</v>
      </c>
      <c r="AT35" s="13">
        <v>13872</v>
      </c>
      <c r="AU35" s="5">
        <f t="shared" ref="AU35:AU48" si="35">AT35/AQ35</f>
        <v>0.89739940483891834</v>
      </c>
    </row>
    <row r="36" spans="1:47" x14ac:dyDescent="0.3">
      <c r="A36" s="18">
        <v>27</v>
      </c>
      <c r="B36" s="3" t="s">
        <v>32</v>
      </c>
      <c r="C36" s="7">
        <v>952810</v>
      </c>
      <c r="D36" s="6">
        <v>770178</v>
      </c>
      <c r="E36" s="4">
        <f t="shared" si="18"/>
        <v>184226</v>
      </c>
      <c r="F36" s="13">
        <v>954404</v>
      </c>
      <c r="G36" s="5">
        <f t="shared" si="19"/>
        <v>1.0016729463376748</v>
      </c>
      <c r="H36" s="7">
        <v>975466</v>
      </c>
      <c r="I36" s="6">
        <v>795220</v>
      </c>
      <c r="J36" s="4">
        <f t="shared" si="20"/>
        <v>173981</v>
      </c>
      <c r="K36" s="13">
        <v>969201</v>
      </c>
      <c r="L36" s="5">
        <f t="shared" si="21"/>
        <v>0.99357742863410925</v>
      </c>
      <c r="M36" s="7">
        <v>1668278</v>
      </c>
      <c r="N36" s="6">
        <v>1322073</v>
      </c>
      <c r="O36" s="4">
        <f t="shared" si="22"/>
        <v>339815</v>
      </c>
      <c r="P36" s="13">
        <v>1661888</v>
      </c>
      <c r="Q36" s="5">
        <f t="shared" si="23"/>
        <v>0.99616970313101294</v>
      </c>
      <c r="R36" s="7">
        <v>976879</v>
      </c>
      <c r="S36" s="6">
        <v>792042</v>
      </c>
      <c r="T36" s="4">
        <f t="shared" si="24"/>
        <v>180178</v>
      </c>
      <c r="U36" s="13">
        <v>972220</v>
      </c>
      <c r="V36" s="5">
        <f t="shared" si="25"/>
        <v>0.99523072970142668</v>
      </c>
      <c r="W36" s="7">
        <v>1000117</v>
      </c>
      <c r="X36" s="6">
        <v>807823</v>
      </c>
      <c r="Y36" s="4">
        <f t="shared" si="26"/>
        <v>172787</v>
      </c>
      <c r="Z36" s="13">
        <v>980610</v>
      </c>
      <c r="AA36" s="5">
        <f t="shared" si="27"/>
        <v>0.98049528205199987</v>
      </c>
      <c r="AB36" s="7">
        <v>1701420</v>
      </c>
      <c r="AC36" s="6">
        <v>1360894</v>
      </c>
      <c r="AD36" s="4">
        <f t="shared" si="28"/>
        <v>307406</v>
      </c>
      <c r="AE36" s="13">
        <v>1668300</v>
      </c>
      <c r="AF36" s="5">
        <f t="shared" si="29"/>
        <v>0.98053390697182352</v>
      </c>
      <c r="AG36" s="7">
        <v>996655</v>
      </c>
      <c r="AH36" s="6">
        <v>810626</v>
      </c>
      <c r="AI36" s="4">
        <f t="shared" si="30"/>
        <v>165038</v>
      </c>
      <c r="AJ36" s="13">
        <v>975664</v>
      </c>
      <c r="AK36" s="5">
        <f t="shared" si="31"/>
        <v>0.97893854944790326</v>
      </c>
      <c r="AL36" s="7">
        <v>1027093</v>
      </c>
      <c r="AM36" s="6">
        <v>854719</v>
      </c>
      <c r="AN36" s="4">
        <f t="shared" si="32"/>
        <v>141515</v>
      </c>
      <c r="AO36" s="13">
        <v>996234</v>
      </c>
      <c r="AP36" s="5">
        <f t="shared" si="33"/>
        <v>0.96995500894271502</v>
      </c>
      <c r="AQ36" s="7">
        <v>1750886</v>
      </c>
      <c r="AR36" s="6">
        <v>1441378</v>
      </c>
      <c r="AS36" s="4">
        <f t="shared" si="34"/>
        <v>157926</v>
      </c>
      <c r="AT36" s="13">
        <v>1599304</v>
      </c>
      <c r="AU36" s="5">
        <f t="shared" si="35"/>
        <v>0.91342554569515089</v>
      </c>
    </row>
    <row r="37" spans="1:47" x14ac:dyDescent="0.3">
      <c r="A37" s="18">
        <v>29</v>
      </c>
      <c r="B37" s="3" t="s">
        <v>33</v>
      </c>
      <c r="C37" s="7">
        <v>741468</v>
      </c>
      <c r="D37" s="6">
        <v>588070</v>
      </c>
      <c r="E37" s="4">
        <f t="shared" si="18"/>
        <v>144717</v>
      </c>
      <c r="F37" s="13">
        <v>732787</v>
      </c>
      <c r="G37" s="5">
        <f t="shared" si="19"/>
        <v>0.98829214477226257</v>
      </c>
      <c r="H37" s="7">
        <v>747767</v>
      </c>
      <c r="I37" s="6">
        <v>599022</v>
      </c>
      <c r="J37" s="4">
        <f t="shared" si="20"/>
        <v>137905</v>
      </c>
      <c r="K37" s="13">
        <v>736927</v>
      </c>
      <c r="L37" s="5">
        <f t="shared" si="21"/>
        <v>0.98550350577118273</v>
      </c>
      <c r="M37" s="7">
        <v>922163</v>
      </c>
      <c r="N37" s="6">
        <v>725538</v>
      </c>
      <c r="O37" s="4">
        <f t="shared" si="22"/>
        <v>184089</v>
      </c>
      <c r="P37" s="13">
        <v>909627</v>
      </c>
      <c r="Q37" s="5">
        <f t="shared" si="23"/>
        <v>0.98640587401576507</v>
      </c>
      <c r="R37" s="7">
        <v>751356</v>
      </c>
      <c r="S37" s="6">
        <v>604444</v>
      </c>
      <c r="T37" s="4">
        <f t="shared" si="24"/>
        <v>134795</v>
      </c>
      <c r="U37" s="13">
        <v>739239</v>
      </c>
      <c r="V37" s="5">
        <f t="shared" si="25"/>
        <v>0.98387315733154457</v>
      </c>
      <c r="W37" s="7">
        <v>760191</v>
      </c>
      <c r="X37" s="6">
        <v>611552</v>
      </c>
      <c r="Y37" s="4">
        <f t="shared" si="26"/>
        <v>130328</v>
      </c>
      <c r="Z37" s="13">
        <v>741880</v>
      </c>
      <c r="AA37" s="5">
        <f t="shared" si="27"/>
        <v>0.9759126324831523</v>
      </c>
      <c r="AB37" s="7">
        <v>938023</v>
      </c>
      <c r="AC37" s="6">
        <v>767374</v>
      </c>
      <c r="AD37" s="4">
        <f t="shared" si="28"/>
        <v>144463</v>
      </c>
      <c r="AE37" s="13">
        <v>911837</v>
      </c>
      <c r="AF37" s="5">
        <f t="shared" si="29"/>
        <v>0.9720838401617018</v>
      </c>
      <c r="AG37" s="7">
        <v>763648</v>
      </c>
      <c r="AH37" s="6">
        <v>613209</v>
      </c>
      <c r="AI37" s="4">
        <f t="shared" si="30"/>
        <v>124574</v>
      </c>
      <c r="AJ37" s="13">
        <v>737783</v>
      </c>
      <c r="AK37" s="5">
        <f t="shared" si="31"/>
        <v>0.96612968278578615</v>
      </c>
      <c r="AL37" s="7">
        <v>773685</v>
      </c>
      <c r="AM37" s="6">
        <v>635264</v>
      </c>
      <c r="AN37" s="4">
        <f t="shared" si="32"/>
        <v>104512</v>
      </c>
      <c r="AO37" s="13">
        <v>739776</v>
      </c>
      <c r="AP37" s="5">
        <f t="shared" si="33"/>
        <v>0.95617208553868827</v>
      </c>
      <c r="AQ37" s="7">
        <v>957323</v>
      </c>
      <c r="AR37" s="6">
        <v>783463</v>
      </c>
      <c r="AS37" s="4">
        <f t="shared" si="34"/>
        <v>87240</v>
      </c>
      <c r="AT37" s="13">
        <v>870703</v>
      </c>
      <c r="AU37" s="5">
        <f t="shared" si="35"/>
        <v>0.90951852196176208</v>
      </c>
    </row>
    <row r="38" spans="1:47" x14ac:dyDescent="0.3">
      <c r="A38" s="18">
        <v>30</v>
      </c>
      <c r="B38" s="3" t="s">
        <v>34</v>
      </c>
      <c r="C38" s="7">
        <v>26062</v>
      </c>
      <c r="D38" s="6">
        <v>19588</v>
      </c>
      <c r="E38" s="4">
        <f t="shared" si="18"/>
        <v>6467</v>
      </c>
      <c r="F38" s="13">
        <v>26055</v>
      </c>
      <c r="G38" s="5">
        <f t="shared" si="19"/>
        <v>0.99973140971529428</v>
      </c>
      <c r="H38" s="7">
        <v>26657</v>
      </c>
      <c r="I38" s="6">
        <v>20239</v>
      </c>
      <c r="J38" s="4">
        <f t="shared" si="20"/>
        <v>6092</v>
      </c>
      <c r="K38" s="13">
        <v>26331</v>
      </c>
      <c r="L38" s="5">
        <f t="shared" si="21"/>
        <v>0.98777056683047604</v>
      </c>
      <c r="M38" s="7">
        <v>40003</v>
      </c>
      <c r="N38" s="6">
        <v>30131</v>
      </c>
      <c r="O38" s="4">
        <f t="shared" si="22"/>
        <v>9565</v>
      </c>
      <c r="P38" s="13">
        <v>39696</v>
      </c>
      <c r="Q38" s="5">
        <f t="shared" si="23"/>
        <v>0.99232557558183132</v>
      </c>
      <c r="R38" s="7">
        <v>26603</v>
      </c>
      <c r="S38" s="6">
        <v>20495</v>
      </c>
      <c r="T38" s="4">
        <f t="shared" si="24"/>
        <v>5816</v>
      </c>
      <c r="U38" s="13">
        <v>26311</v>
      </c>
      <c r="V38" s="5">
        <f t="shared" si="25"/>
        <v>0.98902379430891252</v>
      </c>
      <c r="W38" s="7">
        <v>27177</v>
      </c>
      <c r="X38" s="6">
        <v>20685</v>
      </c>
      <c r="Y38" s="4">
        <f t="shared" si="26"/>
        <v>5653</v>
      </c>
      <c r="Z38" s="13">
        <v>26338</v>
      </c>
      <c r="AA38" s="5">
        <f t="shared" si="27"/>
        <v>0.96912830702432207</v>
      </c>
      <c r="AB38" s="7">
        <v>40627</v>
      </c>
      <c r="AC38" s="6">
        <v>31829</v>
      </c>
      <c r="AD38" s="4">
        <f t="shared" si="28"/>
        <v>7555</v>
      </c>
      <c r="AE38" s="13">
        <v>39384</v>
      </c>
      <c r="AF38" s="5">
        <f t="shared" si="29"/>
        <v>0.96940458315898292</v>
      </c>
      <c r="AG38" s="7">
        <v>26952</v>
      </c>
      <c r="AH38" s="6">
        <v>20902</v>
      </c>
      <c r="AI38" s="4">
        <f t="shared" si="30"/>
        <v>4971</v>
      </c>
      <c r="AJ38" s="13">
        <v>25873</v>
      </c>
      <c r="AK38" s="5">
        <f t="shared" si="31"/>
        <v>0.95996586524191152</v>
      </c>
      <c r="AL38" s="7">
        <v>27600</v>
      </c>
      <c r="AM38" s="6">
        <v>21153</v>
      </c>
      <c r="AN38" s="4">
        <f t="shared" si="32"/>
        <v>4658</v>
      </c>
      <c r="AO38" s="13">
        <v>25811</v>
      </c>
      <c r="AP38" s="5">
        <f t="shared" si="33"/>
        <v>0.9351811594202899</v>
      </c>
      <c r="AQ38" s="7">
        <v>41434</v>
      </c>
      <c r="AR38" s="6">
        <v>32574</v>
      </c>
      <c r="AS38" s="4">
        <f t="shared" si="34"/>
        <v>3920</v>
      </c>
      <c r="AT38" s="13">
        <v>36494</v>
      </c>
      <c r="AU38" s="5">
        <f t="shared" si="35"/>
        <v>0.88077424337500598</v>
      </c>
    </row>
    <row r="39" spans="1:47" x14ac:dyDescent="0.3">
      <c r="A39" s="18">
        <v>31</v>
      </c>
      <c r="B39" s="3" t="s">
        <v>35</v>
      </c>
      <c r="C39" s="7">
        <v>256</v>
      </c>
      <c r="D39" s="6">
        <v>198</v>
      </c>
      <c r="E39" s="4">
        <f t="shared" si="18"/>
        <v>53</v>
      </c>
      <c r="F39" s="13">
        <v>251</v>
      </c>
      <c r="G39" s="5">
        <f t="shared" si="19"/>
        <v>0.98046875</v>
      </c>
      <c r="H39" s="7">
        <v>262</v>
      </c>
      <c r="I39" s="6">
        <v>192</v>
      </c>
      <c r="J39" s="4">
        <f t="shared" si="20"/>
        <v>60</v>
      </c>
      <c r="K39" s="13">
        <v>252</v>
      </c>
      <c r="L39" s="5">
        <f t="shared" si="21"/>
        <v>0.96183206106870234</v>
      </c>
      <c r="M39" s="7">
        <v>313</v>
      </c>
      <c r="N39" s="6">
        <v>237</v>
      </c>
      <c r="O39" s="4">
        <f t="shared" si="22"/>
        <v>66</v>
      </c>
      <c r="P39" s="13">
        <v>303</v>
      </c>
      <c r="Q39" s="5">
        <f t="shared" si="23"/>
        <v>0.96805111821086265</v>
      </c>
      <c r="R39" s="7">
        <v>264</v>
      </c>
      <c r="S39" s="6">
        <v>192</v>
      </c>
      <c r="T39" s="4">
        <f t="shared" si="24"/>
        <v>51</v>
      </c>
      <c r="U39" s="13">
        <v>243</v>
      </c>
      <c r="V39" s="5">
        <f t="shared" si="25"/>
        <v>0.92045454545454541</v>
      </c>
      <c r="W39" s="7">
        <v>265</v>
      </c>
      <c r="X39" s="6">
        <v>190</v>
      </c>
      <c r="Y39" s="4">
        <f t="shared" si="26"/>
        <v>52</v>
      </c>
      <c r="Z39" s="13">
        <v>242</v>
      </c>
      <c r="AA39" s="5">
        <f t="shared" si="27"/>
        <v>0.91320754716981134</v>
      </c>
      <c r="AB39" s="7">
        <v>322</v>
      </c>
      <c r="AC39" s="6">
        <v>241</v>
      </c>
      <c r="AD39" s="4">
        <f t="shared" si="28"/>
        <v>51</v>
      </c>
      <c r="AE39" s="13">
        <v>292</v>
      </c>
      <c r="AF39" s="5">
        <f t="shared" si="29"/>
        <v>0.90683229813664601</v>
      </c>
      <c r="AG39" s="7">
        <v>267</v>
      </c>
      <c r="AH39" s="6">
        <v>196</v>
      </c>
      <c r="AI39" s="4">
        <f t="shared" si="30"/>
        <v>41</v>
      </c>
      <c r="AJ39" s="13">
        <v>237</v>
      </c>
      <c r="AK39" s="5">
        <f t="shared" si="31"/>
        <v>0.88764044943820219</v>
      </c>
      <c r="AL39" s="7">
        <v>276</v>
      </c>
      <c r="AM39" s="6">
        <v>202</v>
      </c>
      <c r="AN39" s="4">
        <f t="shared" si="32"/>
        <v>39</v>
      </c>
      <c r="AO39" s="13">
        <v>241</v>
      </c>
      <c r="AP39" s="5">
        <f t="shared" si="33"/>
        <v>0.87318840579710144</v>
      </c>
      <c r="AQ39" s="7">
        <v>338</v>
      </c>
      <c r="AR39" s="6">
        <v>252</v>
      </c>
      <c r="AS39" s="4">
        <f t="shared" si="34"/>
        <v>27</v>
      </c>
      <c r="AT39" s="13">
        <v>279</v>
      </c>
      <c r="AU39" s="5">
        <f t="shared" si="35"/>
        <v>0.82544378698224852</v>
      </c>
    </row>
    <row r="40" spans="1:47" x14ac:dyDescent="0.3">
      <c r="A40" s="18">
        <v>32</v>
      </c>
      <c r="B40" s="3" t="s">
        <v>36</v>
      </c>
      <c r="C40" s="7">
        <v>303894</v>
      </c>
      <c r="D40" s="6">
        <v>227915</v>
      </c>
      <c r="E40" s="4">
        <f t="shared" si="18"/>
        <v>72542</v>
      </c>
      <c r="F40" s="13">
        <v>300457</v>
      </c>
      <c r="G40" s="5">
        <f t="shared" si="19"/>
        <v>0.98869013537615091</v>
      </c>
      <c r="H40" s="7">
        <v>306465</v>
      </c>
      <c r="I40" s="6">
        <v>231460</v>
      </c>
      <c r="J40" s="4">
        <f t="shared" si="20"/>
        <v>70023</v>
      </c>
      <c r="K40" s="13">
        <v>301483</v>
      </c>
      <c r="L40" s="5">
        <f t="shared" si="21"/>
        <v>0.98374365751390858</v>
      </c>
      <c r="M40" s="7">
        <v>361770</v>
      </c>
      <c r="N40" s="6">
        <v>267814</v>
      </c>
      <c r="O40" s="4">
        <f t="shared" si="22"/>
        <v>88535</v>
      </c>
      <c r="P40" s="13">
        <v>356349</v>
      </c>
      <c r="Q40" s="5">
        <f t="shared" si="23"/>
        <v>0.98501534123890866</v>
      </c>
      <c r="R40" s="7">
        <v>306479</v>
      </c>
      <c r="S40" s="6">
        <v>234439</v>
      </c>
      <c r="T40" s="4">
        <f t="shared" si="24"/>
        <v>67304</v>
      </c>
      <c r="U40" s="13">
        <v>301743</v>
      </c>
      <c r="V40" s="5">
        <f t="shared" si="25"/>
        <v>0.98454706521490865</v>
      </c>
      <c r="W40" s="7">
        <v>309858</v>
      </c>
      <c r="X40" s="6">
        <v>235614</v>
      </c>
      <c r="Y40" s="4">
        <f t="shared" si="26"/>
        <v>65746</v>
      </c>
      <c r="Z40" s="13">
        <v>301360</v>
      </c>
      <c r="AA40" s="5">
        <f t="shared" si="27"/>
        <v>0.97257453414144546</v>
      </c>
      <c r="AB40" s="7">
        <v>365821</v>
      </c>
      <c r="AC40" s="6">
        <v>296785</v>
      </c>
      <c r="AD40" s="4">
        <f t="shared" si="28"/>
        <v>56961</v>
      </c>
      <c r="AE40" s="13">
        <v>353746</v>
      </c>
      <c r="AF40" s="5">
        <f t="shared" si="29"/>
        <v>0.96699205349064155</v>
      </c>
      <c r="AG40" s="7">
        <v>311342</v>
      </c>
      <c r="AH40" s="6">
        <v>235940</v>
      </c>
      <c r="AI40" s="4">
        <f t="shared" si="30"/>
        <v>62298</v>
      </c>
      <c r="AJ40" s="13">
        <v>298238</v>
      </c>
      <c r="AK40" s="5">
        <f t="shared" si="31"/>
        <v>0.95791123587566085</v>
      </c>
      <c r="AL40" s="7">
        <v>314792</v>
      </c>
      <c r="AM40" s="6">
        <v>241859</v>
      </c>
      <c r="AN40" s="4">
        <f t="shared" si="32"/>
        <v>54706</v>
      </c>
      <c r="AO40" s="13">
        <v>296565</v>
      </c>
      <c r="AP40" s="5">
        <f t="shared" si="33"/>
        <v>0.94209827441612237</v>
      </c>
      <c r="AQ40" s="7">
        <v>372144</v>
      </c>
      <c r="AR40" s="6">
        <v>294142</v>
      </c>
      <c r="AS40" s="4">
        <f t="shared" si="34"/>
        <v>36393</v>
      </c>
      <c r="AT40" s="13">
        <v>330535</v>
      </c>
      <c r="AU40" s="5">
        <f t="shared" si="35"/>
        <v>0.88819113031514685</v>
      </c>
    </row>
    <row r="41" spans="1:47" x14ac:dyDescent="0.3">
      <c r="A41" s="18">
        <v>33</v>
      </c>
      <c r="B41" s="3" t="s">
        <v>37</v>
      </c>
      <c r="C41" s="7">
        <v>977433</v>
      </c>
      <c r="D41" s="6">
        <v>812212</v>
      </c>
      <c r="E41" s="4">
        <f t="shared" si="18"/>
        <v>161844</v>
      </c>
      <c r="F41" s="13">
        <v>974056</v>
      </c>
      <c r="G41" s="5">
        <f t="shared" si="19"/>
        <v>0.99654503173107523</v>
      </c>
      <c r="H41" s="7">
        <v>983280</v>
      </c>
      <c r="I41" s="6">
        <v>816694</v>
      </c>
      <c r="J41" s="4">
        <f t="shared" si="20"/>
        <v>161256</v>
      </c>
      <c r="K41" s="13">
        <v>977950</v>
      </c>
      <c r="L41" s="5">
        <f t="shared" si="21"/>
        <v>0.99457936701651617</v>
      </c>
      <c r="M41" s="7">
        <v>1084276</v>
      </c>
      <c r="N41" s="6">
        <v>891207</v>
      </c>
      <c r="O41" s="4">
        <f t="shared" si="22"/>
        <v>187593</v>
      </c>
      <c r="P41" s="13">
        <v>1078800</v>
      </c>
      <c r="Q41" s="5">
        <f t="shared" si="23"/>
        <v>0.99494962537213771</v>
      </c>
      <c r="R41" s="7">
        <v>988018</v>
      </c>
      <c r="S41" s="6">
        <v>824291</v>
      </c>
      <c r="T41" s="4">
        <f t="shared" si="24"/>
        <v>160006</v>
      </c>
      <c r="U41" s="13">
        <v>984297</v>
      </c>
      <c r="V41" s="5">
        <f t="shared" si="25"/>
        <v>0.99623387428164267</v>
      </c>
      <c r="W41" s="7">
        <v>994033</v>
      </c>
      <c r="X41" s="6">
        <v>831459</v>
      </c>
      <c r="Y41" s="4">
        <f t="shared" si="26"/>
        <v>155877</v>
      </c>
      <c r="Z41" s="13">
        <v>987336</v>
      </c>
      <c r="AA41" s="5">
        <f t="shared" si="27"/>
        <v>0.99326279912236315</v>
      </c>
      <c r="AB41" s="7">
        <v>1097882</v>
      </c>
      <c r="AC41" s="6">
        <v>956599</v>
      </c>
      <c r="AD41" s="4">
        <f t="shared" si="28"/>
        <v>129628</v>
      </c>
      <c r="AE41" s="13">
        <v>1086227</v>
      </c>
      <c r="AF41" s="5">
        <f t="shared" si="29"/>
        <v>0.9893841050313239</v>
      </c>
      <c r="AG41" s="7">
        <v>1002140</v>
      </c>
      <c r="AH41" s="6">
        <v>844704</v>
      </c>
      <c r="AI41" s="4">
        <f t="shared" si="30"/>
        <v>143246</v>
      </c>
      <c r="AJ41" s="13">
        <v>987950</v>
      </c>
      <c r="AK41" s="5">
        <f t="shared" si="31"/>
        <v>0.98584030175424586</v>
      </c>
      <c r="AL41" s="7">
        <v>1011306</v>
      </c>
      <c r="AM41" s="6">
        <v>863109</v>
      </c>
      <c r="AN41" s="4">
        <f t="shared" si="32"/>
        <v>128041</v>
      </c>
      <c r="AO41" s="13">
        <v>991150</v>
      </c>
      <c r="AP41" s="5">
        <f t="shared" si="33"/>
        <v>0.98006933608620928</v>
      </c>
      <c r="AQ41" s="7">
        <v>1119532</v>
      </c>
      <c r="AR41" s="6">
        <v>935550</v>
      </c>
      <c r="AS41" s="4">
        <f t="shared" si="34"/>
        <v>117760</v>
      </c>
      <c r="AT41" s="13">
        <v>1053310</v>
      </c>
      <c r="AU41" s="5">
        <f t="shared" si="35"/>
        <v>0.94084849740784537</v>
      </c>
    </row>
    <row r="42" spans="1:47" x14ac:dyDescent="0.3">
      <c r="A42" s="18">
        <v>34</v>
      </c>
      <c r="B42" s="3" t="s">
        <v>38</v>
      </c>
      <c r="C42" s="7">
        <v>19676</v>
      </c>
      <c r="D42" s="6">
        <v>15291</v>
      </c>
      <c r="E42" s="4">
        <f t="shared" si="18"/>
        <v>4242</v>
      </c>
      <c r="F42" s="13">
        <v>19533</v>
      </c>
      <c r="G42" s="5">
        <f t="shared" si="19"/>
        <v>0.99273226265501113</v>
      </c>
      <c r="H42" s="7">
        <v>19882</v>
      </c>
      <c r="I42" s="6">
        <v>15358</v>
      </c>
      <c r="J42" s="4">
        <f t="shared" si="20"/>
        <v>4261</v>
      </c>
      <c r="K42" s="13">
        <v>19619</v>
      </c>
      <c r="L42" s="5">
        <f t="shared" si="21"/>
        <v>0.98677195453173727</v>
      </c>
      <c r="M42" s="7">
        <v>21930</v>
      </c>
      <c r="N42" s="6">
        <v>16537</v>
      </c>
      <c r="O42" s="4">
        <f t="shared" si="22"/>
        <v>5127</v>
      </c>
      <c r="P42" s="13">
        <v>21664</v>
      </c>
      <c r="Q42" s="5">
        <f t="shared" si="23"/>
        <v>0.9878704970360237</v>
      </c>
      <c r="R42" s="7">
        <v>20021</v>
      </c>
      <c r="S42" s="6">
        <v>15436</v>
      </c>
      <c r="T42" s="4">
        <f t="shared" si="24"/>
        <v>4239</v>
      </c>
      <c r="U42" s="13">
        <v>19675</v>
      </c>
      <c r="V42" s="5">
        <f t="shared" si="25"/>
        <v>0.98271814594675588</v>
      </c>
      <c r="W42" s="7">
        <v>20153</v>
      </c>
      <c r="X42" s="6">
        <v>15663</v>
      </c>
      <c r="Y42" s="4">
        <f t="shared" si="26"/>
        <v>4013</v>
      </c>
      <c r="Z42" s="13">
        <v>19676</v>
      </c>
      <c r="AA42" s="5">
        <f t="shared" si="27"/>
        <v>0.97633106733488806</v>
      </c>
      <c r="AB42" s="7">
        <v>22238</v>
      </c>
      <c r="AC42" s="6">
        <v>18157</v>
      </c>
      <c r="AD42" s="4">
        <f t="shared" si="28"/>
        <v>3467</v>
      </c>
      <c r="AE42" s="13">
        <v>21624</v>
      </c>
      <c r="AF42" s="5">
        <f t="shared" si="29"/>
        <v>0.97238960338159908</v>
      </c>
      <c r="AG42" s="7">
        <v>20276</v>
      </c>
      <c r="AH42" s="6">
        <v>15808</v>
      </c>
      <c r="AI42" s="4">
        <f t="shared" si="30"/>
        <v>3785</v>
      </c>
      <c r="AJ42" s="13">
        <v>19593</v>
      </c>
      <c r="AK42" s="5">
        <f t="shared" si="31"/>
        <v>0.96631485500098635</v>
      </c>
      <c r="AL42" s="7">
        <v>20453</v>
      </c>
      <c r="AM42" s="6">
        <v>16418</v>
      </c>
      <c r="AN42" s="4">
        <f t="shared" si="32"/>
        <v>2995</v>
      </c>
      <c r="AO42" s="13">
        <v>19413</v>
      </c>
      <c r="AP42" s="5">
        <f t="shared" si="33"/>
        <v>0.94915171368503393</v>
      </c>
      <c r="AQ42" s="7">
        <v>22621</v>
      </c>
      <c r="AR42" s="6">
        <v>17730</v>
      </c>
      <c r="AS42" s="4">
        <f t="shared" si="34"/>
        <v>2704</v>
      </c>
      <c r="AT42" s="13">
        <v>20434</v>
      </c>
      <c r="AU42" s="5">
        <f t="shared" si="35"/>
        <v>0.90331992396445782</v>
      </c>
    </row>
    <row r="43" spans="1:47" x14ac:dyDescent="0.3">
      <c r="A43" s="18">
        <v>35</v>
      </c>
      <c r="B43" s="3" t="s">
        <v>39</v>
      </c>
      <c r="C43" s="7">
        <v>3914</v>
      </c>
      <c r="D43" s="6">
        <v>2718</v>
      </c>
      <c r="E43" s="4">
        <f t="shared" si="18"/>
        <v>1137</v>
      </c>
      <c r="F43" s="13">
        <v>3855</v>
      </c>
      <c r="G43" s="5">
        <f t="shared" si="19"/>
        <v>0.98492590700051097</v>
      </c>
      <c r="H43" s="7">
        <v>3941</v>
      </c>
      <c r="I43" s="6">
        <v>2597</v>
      </c>
      <c r="J43" s="4">
        <f t="shared" si="20"/>
        <v>1287</v>
      </c>
      <c r="K43" s="13">
        <v>3884</v>
      </c>
      <c r="L43" s="5">
        <f t="shared" si="21"/>
        <v>0.98553666582085764</v>
      </c>
      <c r="M43" s="7">
        <v>4896</v>
      </c>
      <c r="N43" s="6">
        <v>3189</v>
      </c>
      <c r="O43" s="4">
        <f t="shared" si="22"/>
        <v>1609</v>
      </c>
      <c r="P43" s="13">
        <v>4798</v>
      </c>
      <c r="Q43" s="5">
        <f t="shared" si="23"/>
        <v>0.97998366013071891</v>
      </c>
      <c r="R43" s="7">
        <v>3969</v>
      </c>
      <c r="S43" s="6">
        <v>2703</v>
      </c>
      <c r="T43" s="4">
        <f t="shared" si="24"/>
        <v>1152</v>
      </c>
      <c r="U43" s="13">
        <v>3855</v>
      </c>
      <c r="V43" s="5">
        <f t="shared" si="25"/>
        <v>0.97127739984882844</v>
      </c>
      <c r="W43" s="7">
        <v>4009</v>
      </c>
      <c r="X43" s="6">
        <v>2726</v>
      </c>
      <c r="Y43" s="4">
        <f t="shared" si="26"/>
        <v>1120</v>
      </c>
      <c r="Z43" s="13">
        <v>3846</v>
      </c>
      <c r="AA43" s="5">
        <f t="shared" si="27"/>
        <v>0.95934148166625088</v>
      </c>
      <c r="AB43" s="7">
        <v>4962</v>
      </c>
      <c r="AC43" s="6">
        <v>3609</v>
      </c>
      <c r="AD43" s="4">
        <f t="shared" si="28"/>
        <v>1088</v>
      </c>
      <c r="AE43" s="13">
        <v>4697</v>
      </c>
      <c r="AF43" s="5">
        <f t="shared" si="29"/>
        <v>0.94659411527609838</v>
      </c>
      <c r="AG43" s="7">
        <v>4018</v>
      </c>
      <c r="AH43" s="6">
        <v>2785</v>
      </c>
      <c r="AI43" s="4">
        <f t="shared" si="30"/>
        <v>949</v>
      </c>
      <c r="AJ43" s="13">
        <v>3734</v>
      </c>
      <c r="AK43" s="5">
        <f t="shared" si="31"/>
        <v>0.92931806869089095</v>
      </c>
      <c r="AL43" s="7">
        <v>4086</v>
      </c>
      <c r="AM43" s="6">
        <v>2872</v>
      </c>
      <c r="AN43" s="4">
        <f t="shared" si="32"/>
        <v>798</v>
      </c>
      <c r="AO43" s="13">
        <v>3670</v>
      </c>
      <c r="AP43" s="5">
        <f t="shared" si="33"/>
        <v>0.89818893783651488</v>
      </c>
      <c r="AQ43" s="7">
        <v>5072</v>
      </c>
      <c r="AR43" s="6">
        <v>3513</v>
      </c>
      <c r="AS43" s="4">
        <f t="shared" si="34"/>
        <v>651</v>
      </c>
      <c r="AT43" s="13">
        <v>4164</v>
      </c>
      <c r="AU43" s="5">
        <f t="shared" si="35"/>
        <v>0.82097791798107256</v>
      </c>
    </row>
    <row r="44" spans="1:47" x14ac:dyDescent="0.3">
      <c r="A44" s="18">
        <v>36</v>
      </c>
      <c r="B44" s="3" t="s">
        <v>40</v>
      </c>
      <c r="C44" s="7">
        <v>383538</v>
      </c>
      <c r="D44" s="6">
        <v>295419</v>
      </c>
      <c r="E44" s="4">
        <f t="shared" si="18"/>
        <v>83276</v>
      </c>
      <c r="F44" s="13">
        <v>378695</v>
      </c>
      <c r="G44" s="5">
        <f t="shared" si="19"/>
        <v>0.98737282876794474</v>
      </c>
      <c r="H44" s="7">
        <v>388149</v>
      </c>
      <c r="I44" s="6">
        <v>300418</v>
      </c>
      <c r="J44" s="4">
        <f t="shared" si="20"/>
        <v>81363</v>
      </c>
      <c r="K44" s="13">
        <v>381781</v>
      </c>
      <c r="L44" s="5">
        <f t="shared" si="21"/>
        <v>0.98359392913546084</v>
      </c>
      <c r="M44" s="7">
        <v>456953</v>
      </c>
      <c r="N44" s="6">
        <v>349612</v>
      </c>
      <c r="O44" s="4">
        <f t="shared" si="22"/>
        <v>101581</v>
      </c>
      <c r="P44" s="13">
        <v>451193</v>
      </c>
      <c r="Q44" s="5">
        <f t="shared" si="23"/>
        <v>0.9873947648882927</v>
      </c>
      <c r="R44" s="7">
        <v>388846</v>
      </c>
      <c r="S44" s="6">
        <v>301787</v>
      </c>
      <c r="T44" s="4">
        <f t="shared" si="24"/>
        <v>81275</v>
      </c>
      <c r="U44" s="13">
        <v>383062</v>
      </c>
      <c r="V44" s="5">
        <f t="shared" si="25"/>
        <v>0.98512521666675235</v>
      </c>
      <c r="W44" s="7">
        <v>393146</v>
      </c>
      <c r="X44" s="6">
        <v>305708</v>
      </c>
      <c r="Y44" s="4">
        <f t="shared" si="26"/>
        <v>78799</v>
      </c>
      <c r="Z44" s="13">
        <v>384507</v>
      </c>
      <c r="AA44" s="5">
        <f t="shared" si="27"/>
        <v>0.978025975083048</v>
      </c>
      <c r="AB44" s="7">
        <v>465292</v>
      </c>
      <c r="AC44" s="6">
        <v>378392</v>
      </c>
      <c r="AD44" s="4">
        <f t="shared" si="28"/>
        <v>75294</v>
      </c>
      <c r="AE44" s="13">
        <v>453686</v>
      </c>
      <c r="AF44" s="5">
        <f t="shared" si="29"/>
        <v>0.97505652364536677</v>
      </c>
      <c r="AG44" s="7">
        <v>393778</v>
      </c>
      <c r="AH44" s="6">
        <v>311206</v>
      </c>
      <c r="AI44" s="4">
        <f t="shared" si="30"/>
        <v>72516</v>
      </c>
      <c r="AJ44" s="13">
        <v>383722</v>
      </c>
      <c r="AK44" s="5">
        <f t="shared" si="31"/>
        <v>0.97446276836186885</v>
      </c>
      <c r="AL44" s="7">
        <v>398873</v>
      </c>
      <c r="AM44" s="6">
        <v>323525</v>
      </c>
      <c r="AN44" s="4">
        <f t="shared" si="32"/>
        <v>63803</v>
      </c>
      <c r="AO44" s="13">
        <v>387328</v>
      </c>
      <c r="AP44" s="5">
        <f t="shared" si="33"/>
        <v>0.97105595013951806</v>
      </c>
      <c r="AQ44" s="7">
        <v>476819</v>
      </c>
      <c r="AR44" s="6">
        <v>391434</v>
      </c>
      <c r="AS44" s="4">
        <f t="shared" si="34"/>
        <v>47759</v>
      </c>
      <c r="AT44" s="13">
        <v>439193</v>
      </c>
      <c r="AU44" s="5">
        <f t="shared" si="35"/>
        <v>0.92108955389781033</v>
      </c>
    </row>
    <row r="45" spans="1:47" x14ac:dyDescent="0.3">
      <c r="A45" s="18">
        <v>37</v>
      </c>
      <c r="B45" s="3" t="s">
        <v>41</v>
      </c>
      <c r="C45" s="7">
        <v>277496</v>
      </c>
      <c r="D45" s="6">
        <v>220958</v>
      </c>
      <c r="E45" s="4">
        <f t="shared" si="18"/>
        <v>55547</v>
      </c>
      <c r="F45" s="13">
        <v>276505</v>
      </c>
      <c r="G45" s="5">
        <f t="shared" si="19"/>
        <v>0.99642877735174562</v>
      </c>
      <c r="H45" s="7">
        <v>280269</v>
      </c>
      <c r="I45" s="6">
        <v>223137</v>
      </c>
      <c r="J45" s="4">
        <f t="shared" si="20"/>
        <v>54959</v>
      </c>
      <c r="K45" s="13">
        <v>278096</v>
      </c>
      <c r="L45" s="5">
        <f t="shared" si="21"/>
        <v>0.99224673438732081</v>
      </c>
      <c r="M45" s="7">
        <v>334005</v>
      </c>
      <c r="N45" s="6">
        <v>261510</v>
      </c>
      <c r="O45" s="4">
        <f t="shared" si="22"/>
        <v>69051</v>
      </c>
      <c r="P45" s="13">
        <v>330561</v>
      </c>
      <c r="Q45" s="5">
        <f t="shared" si="23"/>
        <v>0.98968877711411507</v>
      </c>
      <c r="R45" s="7">
        <v>281510</v>
      </c>
      <c r="S45" s="6">
        <v>226061</v>
      </c>
      <c r="T45" s="4">
        <f t="shared" si="24"/>
        <v>52401</v>
      </c>
      <c r="U45" s="13">
        <v>278462</v>
      </c>
      <c r="V45" s="5">
        <f t="shared" si="25"/>
        <v>0.9891726759262548</v>
      </c>
      <c r="W45" s="7">
        <v>284325</v>
      </c>
      <c r="X45" s="6">
        <v>226325</v>
      </c>
      <c r="Y45" s="4">
        <f t="shared" si="26"/>
        <v>52351</v>
      </c>
      <c r="Z45" s="13">
        <v>278676</v>
      </c>
      <c r="AA45" s="5">
        <f t="shared" si="27"/>
        <v>0.9801318913215511</v>
      </c>
      <c r="AB45" s="7">
        <v>338696</v>
      </c>
      <c r="AC45" s="6">
        <v>273192</v>
      </c>
      <c r="AD45" s="4">
        <f t="shared" si="28"/>
        <v>56747</v>
      </c>
      <c r="AE45" s="13">
        <v>329939</v>
      </c>
      <c r="AF45" s="5">
        <f t="shared" si="29"/>
        <v>0.97414495594869732</v>
      </c>
      <c r="AG45" s="7">
        <v>285325</v>
      </c>
      <c r="AH45" s="6">
        <v>225955</v>
      </c>
      <c r="AI45" s="4">
        <f t="shared" si="30"/>
        <v>51461</v>
      </c>
      <c r="AJ45" s="13">
        <v>277416</v>
      </c>
      <c r="AK45" s="5">
        <f t="shared" si="31"/>
        <v>0.9722807324980286</v>
      </c>
      <c r="AL45" s="7">
        <v>289428</v>
      </c>
      <c r="AM45" s="6">
        <v>236121</v>
      </c>
      <c r="AN45" s="4">
        <f t="shared" si="32"/>
        <v>43980</v>
      </c>
      <c r="AO45" s="13">
        <v>280101</v>
      </c>
      <c r="AP45" s="5">
        <f t="shared" si="33"/>
        <v>0.96777436875492351</v>
      </c>
      <c r="AQ45" s="7">
        <v>348161</v>
      </c>
      <c r="AR45" s="6">
        <v>280294</v>
      </c>
      <c r="AS45" s="4">
        <f t="shared" si="34"/>
        <v>38534</v>
      </c>
      <c r="AT45" s="13">
        <v>318828</v>
      </c>
      <c r="AU45" s="5">
        <f t="shared" si="35"/>
        <v>0.91574874842386134</v>
      </c>
    </row>
    <row r="46" spans="1:47" x14ac:dyDescent="0.3">
      <c r="A46" s="18">
        <v>38</v>
      </c>
      <c r="B46" s="3" t="s">
        <v>42</v>
      </c>
      <c r="C46" s="7">
        <v>2430</v>
      </c>
      <c r="D46" s="6">
        <v>1866</v>
      </c>
      <c r="E46" s="4">
        <f t="shared" si="18"/>
        <v>625</v>
      </c>
      <c r="F46" s="13">
        <v>2491</v>
      </c>
      <c r="G46" s="5">
        <f t="shared" si="19"/>
        <v>1.0251028806584361</v>
      </c>
      <c r="H46" s="7">
        <v>2594</v>
      </c>
      <c r="I46" s="6">
        <v>1913</v>
      </c>
      <c r="J46" s="4">
        <f t="shared" si="20"/>
        <v>714</v>
      </c>
      <c r="K46" s="13">
        <v>2627</v>
      </c>
      <c r="L46" s="5">
        <f t="shared" si="21"/>
        <v>1.01272166538165</v>
      </c>
      <c r="M46" s="7">
        <v>8454</v>
      </c>
      <c r="N46" s="6">
        <v>6596</v>
      </c>
      <c r="O46" s="4">
        <f t="shared" si="22"/>
        <v>1912</v>
      </c>
      <c r="P46" s="13">
        <v>8508</v>
      </c>
      <c r="Q46" s="5">
        <f t="shared" si="23"/>
        <v>1.0063875088715402</v>
      </c>
      <c r="R46" s="7">
        <v>2484</v>
      </c>
      <c r="S46" s="6">
        <v>1814</v>
      </c>
      <c r="T46" s="4">
        <f t="shared" si="24"/>
        <v>738</v>
      </c>
      <c r="U46" s="13">
        <v>2552</v>
      </c>
      <c r="V46" s="5">
        <f t="shared" si="25"/>
        <v>1.0273752012882447</v>
      </c>
      <c r="W46" s="7">
        <v>2748</v>
      </c>
      <c r="X46" s="6">
        <v>1922</v>
      </c>
      <c r="Y46" s="4">
        <f t="shared" si="26"/>
        <v>705</v>
      </c>
      <c r="Z46" s="13">
        <v>2627</v>
      </c>
      <c r="AA46" s="5">
        <f t="shared" si="27"/>
        <v>0.95596797671033484</v>
      </c>
      <c r="AB46" s="7">
        <v>8770</v>
      </c>
      <c r="AC46" s="6">
        <v>6743</v>
      </c>
      <c r="AD46" s="4">
        <f t="shared" si="28"/>
        <v>1818</v>
      </c>
      <c r="AE46" s="13">
        <v>8561</v>
      </c>
      <c r="AF46" s="5">
        <f t="shared" si="29"/>
        <v>0.97616875712656781</v>
      </c>
      <c r="AG46" s="7">
        <v>2523</v>
      </c>
      <c r="AH46" s="6">
        <v>1887</v>
      </c>
      <c r="AI46" s="4">
        <f t="shared" si="30"/>
        <v>552</v>
      </c>
      <c r="AJ46" s="13">
        <v>2439</v>
      </c>
      <c r="AK46" s="5">
        <f t="shared" si="31"/>
        <v>0.96670630202140306</v>
      </c>
      <c r="AL46" s="7">
        <v>2722</v>
      </c>
      <c r="AM46" s="6">
        <v>1987</v>
      </c>
      <c r="AN46" s="4">
        <f t="shared" si="32"/>
        <v>496</v>
      </c>
      <c r="AO46" s="13">
        <v>2483</v>
      </c>
      <c r="AP46" s="5">
        <f t="shared" si="33"/>
        <v>0.91219691403379866</v>
      </c>
      <c r="AQ46" s="7">
        <v>8967</v>
      </c>
      <c r="AR46" s="6">
        <v>7230</v>
      </c>
      <c r="AS46" s="4">
        <f t="shared" si="34"/>
        <v>719</v>
      </c>
      <c r="AT46" s="13">
        <v>7949</v>
      </c>
      <c r="AU46" s="5">
        <f t="shared" si="35"/>
        <v>0.88647262183561948</v>
      </c>
    </row>
    <row r="47" spans="1:47" x14ac:dyDescent="0.3">
      <c r="A47" s="18">
        <v>97</v>
      </c>
      <c r="B47" s="3" t="s">
        <v>43</v>
      </c>
      <c r="C47" s="7">
        <v>109</v>
      </c>
      <c r="D47" s="6">
        <v>81</v>
      </c>
      <c r="E47" s="20">
        <f t="shared" si="18"/>
        <v>23</v>
      </c>
      <c r="F47" s="13">
        <v>104</v>
      </c>
      <c r="G47" s="21">
        <f t="shared" si="19"/>
        <v>0.95412844036697253</v>
      </c>
      <c r="H47" s="7">
        <v>98</v>
      </c>
      <c r="I47" s="6">
        <v>85</v>
      </c>
      <c r="J47" s="20">
        <f t="shared" si="20"/>
        <v>24</v>
      </c>
      <c r="K47" s="13">
        <v>109</v>
      </c>
      <c r="L47" s="21">
        <f t="shared" si="21"/>
        <v>1.1122448979591837</v>
      </c>
      <c r="M47" s="7">
        <v>123</v>
      </c>
      <c r="N47" s="6">
        <v>94</v>
      </c>
      <c r="O47" s="20">
        <f t="shared" si="22"/>
        <v>21</v>
      </c>
      <c r="P47" s="13">
        <v>115</v>
      </c>
      <c r="Q47" s="21">
        <f t="shared" si="23"/>
        <v>0.93495934959349591</v>
      </c>
      <c r="R47" s="7">
        <v>133</v>
      </c>
      <c r="S47" s="6">
        <v>78</v>
      </c>
      <c r="T47" s="20">
        <f t="shared" si="24"/>
        <v>6</v>
      </c>
      <c r="U47" s="13">
        <v>84</v>
      </c>
      <c r="V47" s="21">
        <f t="shared" si="25"/>
        <v>0.63157894736842102</v>
      </c>
      <c r="W47" s="7">
        <v>85</v>
      </c>
      <c r="X47" s="6">
        <v>69</v>
      </c>
      <c r="Y47" s="20">
        <f t="shared" si="26"/>
        <v>4</v>
      </c>
      <c r="Z47" s="13">
        <v>73</v>
      </c>
      <c r="AA47" s="21">
        <f t="shared" si="27"/>
        <v>0.85882352941176465</v>
      </c>
      <c r="AB47" s="7">
        <v>83</v>
      </c>
      <c r="AC47" s="6">
        <v>71</v>
      </c>
      <c r="AD47" s="20">
        <f t="shared" si="28"/>
        <v>5</v>
      </c>
      <c r="AE47" s="13">
        <v>76</v>
      </c>
      <c r="AF47" s="21">
        <f t="shared" si="29"/>
        <v>0.91566265060240959</v>
      </c>
      <c r="AG47" s="7">
        <v>76</v>
      </c>
      <c r="AH47" s="6">
        <v>65</v>
      </c>
      <c r="AI47" s="20">
        <f t="shared" si="30"/>
        <v>7</v>
      </c>
      <c r="AJ47" s="13">
        <v>72</v>
      </c>
      <c r="AK47" s="21">
        <f t="shared" si="31"/>
        <v>0.94736842105263153</v>
      </c>
      <c r="AL47" s="7">
        <v>76</v>
      </c>
      <c r="AM47" s="6">
        <v>67</v>
      </c>
      <c r="AN47" s="20">
        <f t="shared" si="32"/>
        <v>3</v>
      </c>
      <c r="AO47" s="13">
        <v>70</v>
      </c>
      <c r="AP47" s="21">
        <f t="shared" si="33"/>
        <v>0.92105263157894735</v>
      </c>
      <c r="AQ47" s="7">
        <v>79</v>
      </c>
      <c r="AR47" s="6">
        <v>70</v>
      </c>
      <c r="AS47" s="20">
        <f t="shared" si="34"/>
        <v>3</v>
      </c>
      <c r="AT47" s="13">
        <v>73</v>
      </c>
      <c r="AU47" s="21">
        <f t="shared" si="35"/>
        <v>0.92405063291139244</v>
      </c>
    </row>
    <row r="48" spans="1:47" x14ac:dyDescent="0.3">
      <c r="A48" s="27" t="s">
        <v>44</v>
      </c>
      <c r="B48" s="27"/>
      <c r="C48" s="9">
        <f>SUM(C10:C47)</f>
        <v>8623084</v>
      </c>
      <c r="D48" s="9">
        <f>SUM(D10:D47)</f>
        <v>7002047</v>
      </c>
      <c r="E48" s="11">
        <f t="shared" si="18"/>
        <v>1571663</v>
      </c>
      <c r="F48" s="10">
        <f>SUM(F10:F47)</f>
        <v>8573710</v>
      </c>
      <c r="G48" s="12">
        <f t="shared" si="19"/>
        <v>0.99427420630484409</v>
      </c>
      <c r="H48" s="9">
        <f>SUM(H10:H47)</f>
        <v>8773119</v>
      </c>
      <c r="I48" s="9">
        <f>SUM(I10:I47)</f>
        <v>7149246</v>
      </c>
      <c r="J48" s="11">
        <f t="shared" si="20"/>
        <v>1527789</v>
      </c>
      <c r="K48" s="10">
        <f>SUM(K10:K47)</f>
        <v>8677035</v>
      </c>
      <c r="L48" s="12">
        <f t="shared" si="21"/>
        <v>0.98904790873120496</v>
      </c>
      <c r="M48" s="9">
        <f>SUM(M10:M47)</f>
        <v>13355491</v>
      </c>
      <c r="N48" s="9">
        <f>SUM(N10:N47)</f>
        <v>10769597</v>
      </c>
      <c r="O48" s="11">
        <f t="shared" si="22"/>
        <v>2468992</v>
      </c>
      <c r="P48" s="10">
        <f>SUM(P10:P47)</f>
        <v>13238589</v>
      </c>
      <c r="Q48" s="12">
        <f t="shared" si="23"/>
        <v>0.99124689612684402</v>
      </c>
      <c r="R48" s="9">
        <f>SUM(R10:R47)</f>
        <v>8770642</v>
      </c>
      <c r="S48" s="9">
        <f>SUM(S10:S47)</f>
        <v>7178201</v>
      </c>
      <c r="T48" s="11">
        <f t="shared" si="24"/>
        <v>1508205</v>
      </c>
      <c r="U48" s="10">
        <f>SUM(U10:U47)</f>
        <v>8686406</v>
      </c>
      <c r="V48" s="12">
        <f t="shared" si="25"/>
        <v>0.99039568597144889</v>
      </c>
      <c r="W48" s="9">
        <f>SUM(W10:W47)</f>
        <v>8932573</v>
      </c>
      <c r="X48" s="9">
        <f>SUM(X10:X47)</f>
        <v>7255973</v>
      </c>
      <c r="Y48" s="11">
        <f t="shared" si="26"/>
        <v>1492026</v>
      </c>
      <c r="Z48" s="10">
        <f>SUM(Z10:Z47)</f>
        <v>8747999</v>
      </c>
      <c r="AA48" s="12">
        <f t="shared" si="27"/>
        <v>0.97933697267293529</v>
      </c>
      <c r="AB48" s="9">
        <f>SUM(AB10:AB47)</f>
        <v>13607810</v>
      </c>
      <c r="AC48" s="9">
        <f>SUM(AC10:AC47)</f>
        <v>11136723</v>
      </c>
      <c r="AD48" s="11">
        <f t="shared" si="28"/>
        <v>2161532</v>
      </c>
      <c r="AE48" s="10">
        <f>SUM(AE10:AE47)</f>
        <v>13298255</v>
      </c>
      <c r="AF48" s="12">
        <f t="shared" si="29"/>
        <v>0.97725166650621964</v>
      </c>
      <c r="AG48" s="9">
        <f>SUM(AG10:AG47)</f>
        <v>8917104</v>
      </c>
      <c r="AH48" s="9">
        <f>SUM(AH10:AH47)</f>
        <v>7284859</v>
      </c>
      <c r="AI48" s="11">
        <f t="shared" si="30"/>
        <v>1409497</v>
      </c>
      <c r="AJ48" s="10">
        <f>SUM(AJ10:AJ47)</f>
        <v>8694356</v>
      </c>
      <c r="AK48" s="12">
        <f t="shared" si="31"/>
        <v>0.97502014106822121</v>
      </c>
      <c r="AL48" s="9">
        <f>SUM(AL10:AL47)</f>
        <v>9127360</v>
      </c>
      <c r="AM48" s="9">
        <f>SUM(AM10:AM47)</f>
        <v>7623880</v>
      </c>
      <c r="AN48" s="11">
        <f t="shared" si="32"/>
        <v>1216175</v>
      </c>
      <c r="AO48" s="10">
        <f>SUM(AO10:AO47)</f>
        <v>8840055</v>
      </c>
      <c r="AP48" s="12">
        <f t="shared" si="33"/>
        <v>0.96852266153630406</v>
      </c>
      <c r="AQ48" s="9">
        <f>SUM(AQ10:AQ47)</f>
        <v>13977125</v>
      </c>
      <c r="AR48" s="9">
        <f>SUM(AR10:AR47)</f>
        <v>11641061</v>
      </c>
      <c r="AS48" s="11">
        <f t="shared" si="34"/>
        <v>1227220</v>
      </c>
      <c r="AT48" s="10">
        <f>SUM(AT10:AT47)</f>
        <v>12868281</v>
      </c>
      <c r="AU48" s="12">
        <f t="shared" si="35"/>
        <v>0.92066723306831699</v>
      </c>
    </row>
    <row r="49" spans="1:4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4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4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4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4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42" x14ac:dyDescent="0.3">
      <c r="A56" s="19" t="s">
        <v>45</v>
      </c>
      <c r="B56" s="19"/>
      <c r="C56" s="19"/>
      <c r="D56" s="1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42" x14ac:dyDescent="0.3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42" x14ac:dyDescent="0.3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42" x14ac:dyDescent="0.3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</sheetData>
  <mergeCells count="13">
    <mergeCell ref="AQ8:AU8"/>
    <mergeCell ref="AL8:AP8"/>
    <mergeCell ref="A3:B3"/>
    <mergeCell ref="AG8:AK8"/>
    <mergeCell ref="A48:B48"/>
    <mergeCell ref="A8:A9"/>
    <mergeCell ref="B8:B9"/>
    <mergeCell ref="H8:L8"/>
    <mergeCell ref="C8:G8"/>
    <mergeCell ref="AB8:AF8"/>
    <mergeCell ref="W8:AA8"/>
    <mergeCell ref="R8:V8"/>
    <mergeCell ref="M8:Q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Mandal</dc:creator>
  <cp:lastModifiedBy>Krishan Pal Singh</cp:lastModifiedBy>
  <dcterms:created xsi:type="dcterms:W3CDTF">2021-12-17T09:07:06Z</dcterms:created>
  <dcterms:modified xsi:type="dcterms:W3CDTF">2026-02-13T07:40:58Z</dcterms:modified>
</cp:coreProperties>
</file>